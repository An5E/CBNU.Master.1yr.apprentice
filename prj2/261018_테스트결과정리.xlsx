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github\CBNU.Master.1yr.apprentice\prj2\"/>
    </mc:Choice>
  </mc:AlternateContent>
  <xr:revisionPtr revIDLastSave="0" documentId="13_ncr:1_{B14C35C4-E9EE-4BEF-9F9C-9E0EC4CB34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.파라미터 튜닝" sheetId="1" r:id="rId1"/>
    <sheet name="3.Ablation Test통합" sheetId="5" r:id="rId2"/>
    <sheet name="3.Ablation Test#1" sheetId="2" r:id="rId3"/>
    <sheet name="3.Ablation Test#2" sheetId="3" r:id="rId4"/>
    <sheet name="4.결론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8" i="1" a="1"/>
  <c r="C18" i="1"/>
  <c r="C18" i="1" a="1"/>
  <c r="B18" i="1"/>
  <c r="B18" i="1" a="1"/>
  <c r="D17" i="1"/>
  <c r="D17" i="1" a="1"/>
  <c r="C17" i="1"/>
  <c r="C17" i="1" a="1"/>
  <c r="B17" i="1"/>
  <c r="B17" i="1" a="1"/>
  <c r="D16" i="1"/>
  <c r="D16" i="1" a="1"/>
  <c r="C16" i="1"/>
  <c r="C16" i="1" a="1"/>
  <c r="B16" i="1"/>
  <c r="B16" i="1" a="1"/>
  <c r="D11" i="1"/>
  <c r="D11" i="1" a="1"/>
  <c r="C11" i="1"/>
  <c r="C11" i="1" a="1"/>
  <c r="B11" i="1"/>
  <c r="B11" i="1" a="1"/>
  <c r="D10" i="1"/>
  <c r="D10" i="1" a="1"/>
  <c r="C10" i="1"/>
  <c r="C10" i="1" a="1"/>
  <c r="B10" i="1"/>
  <c r="B10" i="1" a="1"/>
  <c r="D9" i="1"/>
  <c r="D9" i="1" a="1"/>
  <c r="C9" i="1"/>
  <c r="C9" i="1" a="1"/>
  <c r="B9" i="1"/>
  <c r="B9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<sst xmlns="http://schemas.openxmlformats.org/spreadsheetml/2006/main" count="554" uniqueCount="162">
  <si>
    <t>run_id</t>
  </si>
  <si>
    <t>model</t>
  </si>
  <si>
    <t>hidden_size</t>
  </si>
  <si>
    <t>num_layers</t>
  </si>
  <si>
    <t>learning_rate</t>
  </si>
  <si>
    <t>dropout</t>
  </si>
  <si>
    <t>val_RMSE_OT</t>
  </si>
  <si>
    <t>best_epoch</t>
  </si>
  <si>
    <t>train_seconds</t>
  </si>
  <si>
    <t>parameters</t>
  </si>
  <si>
    <t>RNN_00</t>
  </si>
  <si>
    <t>RNN</t>
  </si>
  <si>
    <t>RNN_01</t>
  </si>
  <si>
    <t>RNN_02</t>
  </si>
  <si>
    <t>RNN_03</t>
  </si>
  <si>
    <t>RNN_04</t>
  </si>
  <si>
    <t>RNN_05</t>
  </si>
  <si>
    <t>RNN_06</t>
  </si>
  <si>
    <t>RNN_07</t>
  </si>
  <si>
    <t>RNN_08</t>
  </si>
  <si>
    <t>RNN_09</t>
  </si>
  <si>
    <t>RNN_10</t>
  </si>
  <si>
    <t>RNN_11</t>
  </si>
  <si>
    <t>RNN_12</t>
  </si>
  <si>
    <t>RNN_13</t>
  </si>
  <si>
    <t>RNN_14</t>
  </si>
  <si>
    <t>RNN_15</t>
  </si>
  <si>
    <t>RNN_16</t>
  </si>
  <si>
    <t>RNN_17</t>
  </si>
  <si>
    <t>RNN_18</t>
  </si>
  <si>
    <t>RNN_19</t>
  </si>
  <si>
    <t>RNN_20</t>
  </si>
  <si>
    <t>RNN_21</t>
  </si>
  <si>
    <t>RNN_22</t>
  </si>
  <si>
    <t>RNN_23</t>
  </si>
  <si>
    <t>LSTM_00</t>
  </si>
  <si>
    <t>LSTM</t>
  </si>
  <si>
    <t>LSTM_01</t>
  </si>
  <si>
    <t>LSTM_02</t>
  </si>
  <si>
    <t>LSTM_03</t>
  </si>
  <si>
    <t>LSTM_04</t>
  </si>
  <si>
    <t>LSTM_05</t>
  </si>
  <si>
    <t>LSTM_06</t>
  </si>
  <si>
    <t>LSTM_07</t>
  </si>
  <si>
    <t>LSTM_08</t>
  </si>
  <si>
    <t>LSTM_09</t>
  </si>
  <si>
    <t>LSTM_10</t>
  </si>
  <si>
    <t>LSTM_11</t>
  </si>
  <si>
    <t>LSTM_12</t>
  </si>
  <si>
    <t>LSTM_13</t>
  </si>
  <si>
    <t>LSTM_14</t>
  </si>
  <si>
    <t>LSTM_15</t>
  </si>
  <si>
    <t>LSTM_16</t>
  </si>
  <si>
    <t>LSTM_17</t>
  </si>
  <si>
    <t>LSTM_18</t>
  </si>
  <si>
    <t>LSTM_19</t>
  </si>
  <si>
    <t>LSTM_20</t>
  </si>
  <si>
    <t>LSTM_21</t>
  </si>
  <si>
    <t>LSTM_22</t>
  </si>
  <si>
    <t>LSTM_23</t>
  </si>
  <si>
    <t>GRU_00</t>
  </si>
  <si>
    <t>GRU</t>
  </si>
  <si>
    <t>GRU_01</t>
  </si>
  <si>
    <t>GRU_02</t>
  </si>
  <si>
    <t>GRU_03</t>
  </si>
  <si>
    <t>GRU_04</t>
  </si>
  <si>
    <t>GRU_05</t>
  </si>
  <si>
    <t>GRU_06</t>
  </si>
  <si>
    <t>GRU_07</t>
  </si>
  <si>
    <t>GRU_08</t>
  </si>
  <si>
    <t>GRU_09</t>
  </si>
  <si>
    <t>GRU_10</t>
  </si>
  <si>
    <t>GRU_11</t>
  </si>
  <si>
    <t>GRU_12</t>
  </si>
  <si>
    <t>GRU_13</t>
  </si>
  <si>
    <t>GRU_14</t>
  </si>
  <si>
    <t>GRU_15</t>
  </si>
  <si>
    <t>GRU_16</t>
  </si>
  <si>
    <t>GRU_17</t>
  </si>
  <si>
    <t>GRU_18</t>
  </si>
  <si>
    <t>GRU_19</t>
  </si>
  <si>
    <t>GRU_20</t>
  </si>
  <si>
    <t>GRU_21</t>
  </si>
  <si>
    <t>GRU_22</t>
  </si>
  <si>
    <t>GRU_23</t>
  </si>
  <si>
    <t>RNN</t>
    <phoneticPr fontId="1" type="noConversion"/>
  </si>
  <si>
    <t>LSTM</t>
    <phoneticPr fontId="1" type="noConversion"/>
  </si>
  <si>
    <t>GRU</t>
    <phoneticPr fontId="1" type="noConversion"/>
  </si>
  <si>
    <t>1st</t>
    <phoneticPr fontId="1" type="noConversion"/>
  </si>
  <si>
    <t>2nd</t>
    <phoneticPr fontId="1" type="noConversion"/>
  </si>
  <si>
    <t>3rd</t>
    <phoneticPr fontId="1" type="noConversion"/>
  </si>
  <si>
    <t>val RMSE (Rank)</t>
    <phoneticPr fontId="1" type="noConversion"/>
  </si>
  <si>
    <t>val RMSE (Hyperparam)</t>
    <phoneticPr fontId="1" type="noConversion"/>
  </si>
  <si>
    <t>C#1</t>
    <phoneticPr fontId="1" type="noConversion"/>
  </si>
  <si>
    <t>C#2</t>
    <phoneticPr fontId="1" type="noConversion"/>
  </si>
  <si>
    <t>C#3</t>
    <phoneticPr fontId="1" type="noConversion"/>
  </si>
  <si>
    <t>Hyperparam table</t>
    <phoneticPr fontId="1" type="noConversion"/>
  </si>
  <si>
    <t>Hidden Layer</t>
    <phoneticPr fontId="1" type="noConversion"/>
  </si>
  <si>
    <t>Learning rate</t>
    <phoneticPr fontId="1" type="noConversion"/>
  </si>
  <si>
    <t>[128,128]</t>
    <phoneticPr fontId="1" type="noConversion"/>
  </si>
  <si>
    <t>[64,64]</t>
    <phoneticPr fontId="1" type="noConversion"/>
  </si>
  <si>
    <t>Dropout</t>
    <phoneticPr fontId="1" type="noConversion"/>
  </si>
  <si>
    <t>study</t>
  </si>
  <si>
    <t>features_id</t>
  </si>
  <si>
    <t>features</t>
  </si>
  <si>
    <t>seq_len</t>
  </si>
  <si>
    <t>train_windows</t>
  </si>
  <si>
    <t>peak_vram_MB</t>
  </si>
  <si>
    <t>val_MSE</t>
  </si>
  <si>
    <t>val_MAE</t>
  </si>
  <si>
    <t>val_RMSE</t>
  </si>
  <si>
    <t>val_R2</t>
  </si>
  <si>
    <t>test_MSE</t>
  </si>
  <si>
    <t>test_MAE</t>
  </si>
  <si>
    <t>test_RMSE</t>
  </si>
  <si>
    <t>test_R2</t>
  </si>
  <si>
    <t>delta_val_RMSE_vs_baseline</t>
  </si>
  <si>
    <t>delta_test_RMSE_vs_baseline</t>
  </si>
  <si>
    <t>RNN_ALL_L96</t>
  </si>
  <si>
    <t>A1</t>
  </si>
  <si>
    <t>ALL</t>
  </si>
  <si>
    <t>HUFL|HULL|MUFL|MULL|LUFL|LULL|OT</t>
  </si>
  <si>
    <t>RNN_ALL_L192</t>
  </si>
  <si>
    <t>RNN_ALL_L336</t>
  </si>
  <si>
    <t>RNN_ALL_L672</t>
  </si>
  <si>
    <t>RNN_ALL_L1344</t>
  </si>
  <si>
    <t>RNN_OT_ONLY_L672</t>
  </si>
  <si>
    <t>A2</t>
  </si>
  <si>
    <t>OT_ONLY</t>
  </si>
  <si>
    <t>OT</t>
  </si>
  <si>
    <t>LSTM_ALL_L96</t>
  </si>
  <si>
    <t>LSTM_ALL_L192</t>
  </si>
  <si>
    <t>LSTM_ALL_L336</t>
  </si>
  <si>
    <t>LSTM_ALL_L672</t>
  </si>
  <si>
    <t>LSTM_ALL_L1344</t>
  </si>
  <si>
    <t>LSTM_OT_ONLY_L672</t>
  </si>
  <si>
    <t>GRU_ALL_L96</t>
  </si>
  <si>
    <t>GRU_ALL_L192</t>
  </si>
  <si>
    <t>GRU_ALL_L336</t>
  </si>
  <si>
    <t>GRU_ALL_L672</t>
  </si>
  <si>
    <t>GRU_ALL_L1344</t>
  </si>
  <si>
    <t>GRU_OT_ONLY_L672</t>
  </si>
  <si>
    <t>RNN_H1_L672</t>
  </si>
  <si>
    <t>H1</t>
  </si>
  <si>
    <t>HUFL|MUFL|LUFL|OT</t>
  </si>
  <si>
    <t>RNN_H2_L672</t>
  </si>
  <si>
    <t>H2</t>
  </si>
  <si>
    <t>HUFL|HULL|OT</t>
  </si>
  <si>
    <t>RNN_H3_L672</t>
  </si>
  <si>
    <t>H3</t>
  </si>
  <si>
    <t>HUFL|HULL|MUFL|MULL|OT</t>
  </si>
  <si>
    <t>RNN_H4_L672</t>
  </si>
  <si>
    <t>H4</t>
  </si>
  <si>
    <t>MULL|LUFL|OT</t>
  </si>
  <si>
    <t>LSTM_H1_L672</t>
  </si>
  <si>
    <t>LSTM_H2_L672</t>
  </si>
  <si>
    <t>LSTM_H3_L672</t>
  </si>
  <si>
    <t>LSTM_H4_L672</t>
  </si>
  <si>
    <t>GRU_H1_L672</t>
  </si>
  <si>
    <t>GRU_H2_L672</t>
  </si>
  <si>
    <t>GRU_H3_L672</t>
  </si>
  <si>
    <t>GRU_H4_L672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</si>
</sst>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0_);[Red]\(0.000\)"/>
    <numFmt numFmtId="178" formatCode="0.000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3" fillId="0" borderId="1" xfId="0" applyFont="1" applyBorder="1"/>
    <xf numFmtId="177" fontId="0" fillId="0" borderId="1" xfId="0" applyNumberFormat="1" applyBorder="1"/>
    <xf numFmtId="0" fontId="0" fillId="0" borderId="1" xfId="0" applyBorder="1" applyAlignment="1">
      <alignment horizontal="right"/>
    </xf>
    <xf numFmtId="176" fontId="0" fillId="0" borderId="1" xfId="0" applyNumberFormat="1" applyBorder="1" applyAlignment="1">
      <alignment horizontal="right"/>
    </xf>
    <xf numFmtId="178" fontId="3" fillId="0" borderId="0" xfId="0" applyNumberFormat="1" applyFont="1" applyAlignment="1">
      <alignment vertical="center"/>
    </xf>
    <xf numFmtId="0" fontId="0" fillId="0" borderId="2" xfId="0" applyBorder="1" applyAlignment="1">
      <alignment vertical="center"/>
    </xf>
    <xf numFmtId="178" fontId="3" fillId="2" borderId="2" xfId="0" applyNumberFormat="1" applyFont="1" applyFill="1" applyBorder="1" applyAlignment="1">
      <alignment vertical="center"/>
    </xf>
    <xf numFmtId="0" fontId="0" fillId="0" borderId="2" xfId="0" applyBorder="1"/>
    <xf numFmtId="178" fontId="3" fillId="0" borderId="2" xfId="0" applyNumberFormat="1" applyFont="1" applyBorder="1" applyAlignment="1">
      <alignment vertical="center"/>
    </xf>
    <xf numFmtId="178" fontId="0" fillId="2" borderId="0" xfId="0" applyNumberFormat="1" applyFill="1" applyAlignment="1">
      <alignment vertical="center"/>
    </xf>
    <xf numFmtId="178" fontId="0" fillId="0" borderId="0" xfId="0" applyNumberFormat="1" applyAlignment="1">
      <alignment vertical="center"/>
    </xf>
    <xf numFmtId="178" fontId="0" fillId="0" borderId="2" xfId="0" applyNumberFormat="1" applyBorder="1" applyAlignment="1">
      <alignment vertical="center"/>
    </xf>
    <xf numFmtId="178" fontId="3" fillId="2" borderId="0" xfId="0" applyNumberFormat="1" applyFont="1" applyFill="1" applyAlignment="1">
      <alignment vertic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모델별 최종 후보 </a:t>
            </a:r>
            <a:r>
              <a:rPr lang="en-US" altLang="ko-KR"/>
              <a:t>RMSE</a:t>
            </a:r>
            <a:r>
              <a:rPr lang="ko-KR" altLang="en-US" baseline="0"/>
              <a:t> 비교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검증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Lit>
              <c:ptCount val="4"/>
              <c:pt idx="0">
                <c:v>RNN</c:v>
              </c:pt>
              <c:pt idx="1">
                <c:v>LSTM</c:v>
              </c:pt>
              <c:pt idx="2">
                <c:v>GRU(OT단독)</c:v>
              </c:pt>
              <c:pt idx="3">
                <c:v>GRU(가설#1)</c:v>
              </c:pt>
            </c:strLit>
          </c:cat>
          <c:val>
            <c:numRef>
              <c:f>('3.Ablation Test통합'!$N$7,'3.Ablation Test통합'!$N$17,'3.Ablation Test통합'!$N$27:$N$28)</c:f>
              <c:numCache>
                <c:formatCode>0.000</c:formatCode>
                <c:ptCount val="4"/>
                <c:pt idx="0">
                  <c:v>3.2679345854954698</c:v>
                </c:pt>
                <c:pt idx="1">
                  <c:v>3.1147197596351899</c:v>
                </c:pt>
                <c:pt idx="2">
                  <c:v>3.0896199469935999</c:v>
                </c:pt>
                <c:pt idx="3">
                  <c:v>3.4187925833647501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A0-45E5-BA39-180C4F8478CF}"/>
            </c:ext>
          </c:extLst>
        </c:ser>
        <c:ser>
          <c:idx val="4"/>
          <c:order val="1"/>
          <c:tx>
            <c:v>테스트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4"/>
              <c:pt idx="0">
                <c:v>RNN</c:v>
              </c:pt>
              <c:pt idx="1">
                <c:v>LSTM</c:v>
              </c:pt>
              <c:pt idx="2">
                <c:v>GRU(OT단독)</c:v>
              </c:pt>
              <c:pt idx="3">
                <c:v>GRU(가설#1)</c:v>
              </c:pt>
            </c:strLit>
          </c:cat>
          <c:val>
            <c:numRef>
              <c:f>('3.Ablation Test통합'!$R$7,'3.Ablation Test통합'!$R$17,'3.Ablation Test통합'!$R$27:$R$28)</c:f>
              <c:numCache>
                <c:formatCode>0.000</c:formatCode>
                <c:ptCount val="4"/>
                <c:pt idx="0">
                  <c:v>4.0334979762712697</c:v>
                </c:pt>
                <c:pt idx="1">
                  <c:v>4.0148726680658502</c:v>
                </c:pt>
                <c:pt idx="2">
                  <c:v>4.15018125395639</c:v>
                </c:pt>
                <c:pt idx="3">
                  <c:v>4.0307380365808898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A0-45E5-BA39-180C4F847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804847"/>
        <c:axId val="919953807"/>
      </c:lineChart>
      <c:catAx>
        <c:axId val="1108804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Ablation Test</a:t>
                </a:r>
                <a:r>
                  <a:rPr lang="en-US" altLang="ko-KR" baseline="0"/>
                  <a:t> </a:t>
                </a:r>
                <a:r>
                  <a:rPr lang="ko-KR" altLang="en-US" baseline="0"/>
                  <a:t>시나리오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19953807"/>
        <c:crosses val="autoZero"/>
        <c:auto val="1"/>
        <c:lblAlgn val="ctr"/>
        <c:lblOffset val="100"/>
        <c:noMultiLvlLbl val="0"/>
      </c:catAx>
      <c:valAx>
        <c:axId val="91995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RMSE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880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VRAM</a:t>
            </a:r>
            <a:r>
              <a:rPr lang="en-US" altLang="ko-KR" baseline="0"/>
              <a:t> </a:t>
            </a:r>
            <a:r>
              <a:rPr lang="ko-KR" altLang="en-US" baseline="0"/>
              <a:t>최대 할당량</a:t>
            </a:r>
            <a:r>
              <a:rPr lang="en-US" altLang="ko-KR" baseline="0"/>
              <a:t>,  </a:t>
            </a:r>
            <a:r>
              <a:rPr lang="ko-KR" altLang="en-US" baseline="0"/>
              <a:t>훈련 시간 비교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RNN_peak_vram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ALL_L96</c:v>
              </c:pt>
              <c:pt idx="1">
                <c:v>ALL_L192</c:v>
              </c:pt>
              <c:pt idx="2">
                <c:v>ALL_L336</c:v>
              </c:pt>
              <c:pt idx="3">
                <c:v>ALL_L672</c:v>
              </c:pt>
              <c:pt idx="4">
                <c:v>ALL_L1344</c:v>
              </c:pt>
              <c:pt idx="5">
                <c:v>OT_only_L672</c:v>
              </c:pt>
              <c:pt idx="6">
                <c:v>H1_L672</c:v>
              </c:pt>
              <c:pt idx="7">
                <c:v>H2_L672</c:v>
              </c:pt>
              <c:pt idx="8">
                <c:v>H3_L672</c:v>
              </c:pt>
              <c:pt idx="9">
                <c:v>H4_L672</c:v>
              </c:pt>
            </c:strLit>
          </c:cat>
          <c:val>
            <c:numRef>
              <c:f>'3.Ablation Test통합'!$K$2:$K$11</c:f>
              <c:numCache>
                <c:formatCode>General</c:formatCode>
                <c:ptCount val="10"/>
                <c:pt idx="0">
                  <c:v>33.224609375</c:v>
                </c:pt>
                <c:pt idx="1">
                  <c:v>49.89208984375</c:v>
                </c:pt>
                <c:pt idx="2">
                  <c:v>72.56591796875</c:v>
                </c:pt>
                <c:pt idx="3">
                  <c:v>126.6484375</c:v>
                </c:pt>
                <c:pt idx="4">
                  <c:v>235.634765625</c:v>
                </c:pt>
                <c:pt idx="5">
                  <c:v>124.181640625</c:v>
                </c:pt>
                <c:pt idx="6">
                  <c:v>124.984375</c:v>
                </c:pt>
                <c:pt idx="7">
                  <c:v>124.57421875</c:v>
                </c:pt>
                <c:pt idx="8">
                  <c:v>125.396484375</c:v>
                </c:pt>
                <c:pt idx="9">
                  <c:v>124.57421875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A-4757-83B1-FF14143244FD}"/>
            </c:ext>
          </c:extLst>
        </c:ser>
        <c:ser>
          <c:idx val="1"/>
          <c:order val="1"/>
          <c:tx>
            <c:v>LSTM_peak_vram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ALL_L96</c:v>
              </c:pt>
              <c:pt idx="1">
                <c:v>ALL_L192</c:v>
              </c:pt>
              <c:pt idx="2">
                <c:v>ALL_L336</c:v>
              </c:pt>
              <c:pt idx="3">
                <c:v>ALL_L672</c:v>
              </c:pt>
              <c:pt idx="4">
                <c:v>ALL_L1344</c:v>
              </c:pt>
              <c:pt idx="5">
                <c:v>OT_only_L672</c:v>
              </c:pt>
              <c:pt idx="6">
                <c:v>H1_L672</c:v>
              </c:pt>
              <c:pt idx="7">
                <c:v>H2_L672</c:v>
              </c:pt>
              <c:pt idx="8">
                <c:v>H3_L672</c:v>
              </c:pt>
              <c:pt idx="9">
                <c:v>H4_L672</c:v>
              </c:pt>
            </c:strLit>
          </c:cat>
          <c:val>
            <c:numRef>
              <c:f>'3.Ablation Test통합'!$K$12:$K$21</c:f>
              <c:numCache>
                <c:formatCode>General</c:formatCode>
                <c:ptCount val="10"/>
                <c:pt idx="0">
                  <c:v>75.42138671875</c:v>
                </c:pt>
                <c:pt idx="1">
                  <c:v>129.79638671875</c:v>
                </c:pt>
                <c:pt idx="2">
                  <c:v>211.67919921875</c:v>
                </c:pt>
                <c:pt idx="3">
                  <c:v>402.67138671875</c:v>
                </c:pt>
                <c:pt idx="4">
                  <c:v>783.3427734375</c:v>
                </c:pt>
                <c:pt idx="5">
                  <c:v>400.65576171875</c:v>
                </c:pt>
                <c:pt idx="6">
                  <c:v>400.8349609375</c:v>
                </c:pt>
                <c:pt idx="7">
                  <c:v>400.4990234375</c:v>
                </c:pt>
                <c:pt idx="8">
                  <c:v>401.1708984375</c:v>
                </c:pt>
                <c:pt idx="9">
                  <c:v>400.4990234375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5A-4757-83B1-FF14143244FD}"/>
            </c:ext>
          </c:extLst>
        </c:ser>
        <c:ser>
          <c:idx val="2"/>
          <c:order val="2"/>
          <c:tx>
            <c:v>GRU_peak_vram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ALL_L96</c:v>
              </c:pt>
              <c:pt idx="1">
                <c:v>ALL_L192</c:v>
              </c:pt>
              <c:pt idx="2">
                <c:v>ALL_L336</c:v>
              </c:pt>
              <c:pt idx="3">
                <c:v>ALL_L672</c:v>
              </c:pt>
              <c:pt idx="4">
                <c:v>ALL_L1344</c:v>
              </c:pt>
              <c:pt idx="5">
                <c:v>OT_only_L672</c:v>
              </c:pt>
              <c:pt idx="6">
                <c:v>H1_L672</c:v>
              </c:pt>
              <c:pt idx="7">
                <c:v>H2_L672</c:v>
              </c:pt>
              <c:pt idx="8">
                <c:v>H3_L672</c:v>
              </c:pt>
              <c:pt idx="9">
                <c:v>H4_L672</c:v>
              </c:pt>
            </c:strLit>
          </c:cat>
          <c:val>
            <c:numRef>
              <c:f>'3.Ablation Test통합'!$K$22:$K$31</c:f>
              <c:numCache>
                <c:formatCode>General</c:formatCode>
                <c:ptCount val="10"/>
                <c:pt idx="0">
                  <c:v>74.0302734375</c:v>
                </c:pt>
                <c:pt idx="1">
                  <c:v>126.80029296875</c:v>
                </c:pt>
                <c:pt idx="2">
                  <c:v>205.79052734375</c:v>
                </c:pt>
                <c:pt idx="3">
                  <c:v>390.81982421875</c:v>
                </c:pt>
                <c:pt idx="4">
                  <c:v>762.8623046875</c:v>
                </c:pt>
                <c:pt idx="5">
                  <c:v>388.32373046875</c:v>
                </c:pt>
                <c:pt idx="6">
                  <c:v>389.57177734375</c:v>
                </c:pt>
                <c:pt idx="7">
                  <c:v>389.15576171875</c:v>
                </c:pt>
                <c:pt idx="8">
                  <c:v>389.98779296875</c:v>
                </c:pt>
                <c:pt idx="9">
                  <c:v>389.15576171875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5A-4757-83B1-FF1414324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08804847"/>
        <c:axId val="919953807"/>
      </c:barChart>
      <c:lineChart>
        <c:grouping val="standard"/>
        <c:varyColors val="0"/>
        <c:ser>
          <c:idx val="3"/>
          <c:order val="3"/>
          <c:tx>
            <c:v>RNN_train_sec</c:v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'3.Ablation Test통합'!$J$2:$J$11</c:f>
              <c:numCache>
                <c:formatCode>General</c:formatCode>
                <c:ptCount val="10"/>
                <c:pt idx="0">
                  <c:v>104.318985000019</c:v>
                </c:pt>
                <c:pt idx="1">
                  <c:v>99.323692100006099</c:v>
                </c:pt>
                <c:pt idx="2">
                  <c:v>108.333337999996</c:v>
                </c:pt>
                <c:pt idx="3">
                  <c:v>115.705237100017</c:v>
                </c:pt>
                <c:pt idx="4">
                  <c:v>155.92198389995599</c:v>
                </c:pt>
                <c:pt idx="5">
                  <c:v>104.09193659998699</c:v>
                </c:pt>
                <c:pt idx="6">
                  <c:v>129.78714960004399</c:v>
                </c:pt>
                <c:pt idx="7">
                  <c:v>100.733329699956</c:v>
                </c:pt>
                <c:pt idx="8">
                  <c:v>82.251333499967501</c:v>
                </c:pt>
                <c:pt idx="9">
                  <c:v>98.9367167000309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5A-4757-83B1-FF14143244FD}"/>
            </c:ext>
          </c:extLst>
        </c:ser>
        <c:ser>
          <c:idx val="5"/>
          <c:order val="5"/>
          <c:tx>
            <c:v>GRU_train_sec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'3.Ablation Test통합'!$J$22:$J$31</c:f>
              <c:numCache>
                <c:formatCode>General</c:formatCode>
                <c:ptCount val="10"/>
                <c:pt idx="0">
                  <c:v>48.676961599965502</c:v>
                </c:pt>
                <c:pt idx="1">
                  <c:v>53.018423100002103</c:v>
                </c:pt>
                <c:pt idx="2">
                  <c:v>59.825220200000302</c:v>
                </c:pt>
                <c:pt idx="3">
                  <c:v>99.985476100002401</c:v>
                </c:pt>
                <c:pt idx="4">
                  <c:v>175.844753699959</c:v>
                </c:pt>
                <c:pt idx="5">
                  <c:v>106.011177300009</c:v>
                </c:pt>
                <c:pt idx="6">
                  <c:v>97.095624300010897</c:v>
                </c:pt>
                <c:pt idx="7">
                  <c:v>99.491366999980499</c:v>
                </c:pt>
                <c:pt idx="8">
                  <c:v>115.444016899971</c:v>
                </c:pt>
                <c:pt idx="9">
                  <c:v>101.805088400025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5A-4757-83B1-FF1414324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804847"/>
        <c:axId val="919953807"/>
      </c:lineChart>
      <c:lineChart>
        <c:grouping val="standard"/>
        <c:varyColors val="0"/>
        <c:ser>
          <c:idx val="4"/>
          <c:order val="4"/>
          <c:tx>
            <c:v>LSTM_train_sec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'3.Ablation Test통합'!$J$12:$J$21</c:f>
              <c:numCache>
                <c:formatCode>General</c:formatCode>
                <c:ptCount val="10"/>
                <c:pt idx="0">
                  <c:v>73.196095399965998</c:v>
                </c:pt>
                <c:pt idx="1">
                  <c:v>89.548374499950995</c:v>
                </c:pt>
                <c:pt idx="2">
                  <c:v>102.34131519997</c:v>
                </c:pt>
                <c:pt idx="3">
                  <c:v>170.14506910002001</c:v>
                </c:pt>
                <c:pt idx="4">
                  <c:v>528.00124020001294</c:v>
                </c:pt>
                <c:pt idx="5">
                  <c:v>254.59644330001899</c:v>
                </c:pt>
                <c:pt idx="6">
                  <c:v>239.593661900027</c:v>
                </c:pt>
                <c:pt idx="7">
                  <c:v>218.636803700006</c:v>
                </c:pt>
                <c:pt idx="8">
                  <c:v>315.34800240001601</c:v>
                </c:pt>
                <c:pt idx="9">
                  <c:v>218.88808230002101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5A-4757-83B1-FF1414324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014319"/>
        <c:axId val="1121698735"/>
      </c:lineChart>
      <c:catAx>
        <c:axId val="1108804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Ablation Test</a:t>
                </a:r>
                <a:r>
                  <a:rPr lang="en-US" altLang="ko-KR" baseline="0"/>
                  <a:t> </a:t>
                </a:r>
                <a:r>
                  <a:rPr lang="ko-KR" altLang="en-US" baseline="0"/>
                  <a:t>시나리오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19953807"/>
        <c:crosses val="autoZero"/>
        <c:auto val="1"/>
        <c:lblAlgn val="ctr"/>
        <c:lblOffset val="100"/>
        <c:noMultiLvlLbl val="0"/>
      </c:catAx>
      <c:valAx>
        <c:axId val="91995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VRAM peak [MB]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8804847"/>
        <c:crosses val="autoZero"/>
        <c:crossBetween val="between"/>
      </c:valAx>
      <c:valAx>
        <c:axId val="112169873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Train</a:t>
                </a:r>
                <a:r>
                  <a:rPr lang="en-US" altLang="ko-KR" baseline="0"/>
                  <a:t> time [sec]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8014319"/>
        <c:crosses val="max"/>
        <c:crossBetween val="between"/>
      </c:valAx>
      <c:catAx>
        <c:axId val="1108014319"/>
        <c:scaling>
          <c:orientation val="minMax"/>
        </c:scaling>
        <c:delete val="1"/>
        <c:axPos val="b"/>
        <c:majorTickMark val="out"/>
        <c:minorTickMark val="none"/>
        <c:tickLblPos val="nextTo"/>
        <c:crossAx val="1121698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모델별 </a:t>
            </a:r>
            <a:r>
              <a:rPr lang="en-US" altLang="ko-KR"/>
              <a:t>parameter</a:t>
            </a:r>
            <a:r>
              <a:rPr lang="ko-KR" altLang="en-US" baseline="0"/>
              <a:t> 비교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RNN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ALL_L96</c:v>
              </c:pt>
              <c:pt idx="1">
                <c:v>ALL_L192</c:v>
              </c:pt>
              <c:pt idx="2">
                <c:v>ALL_L336</c:v>
              </c:pt>
              <c:pt idx="3">
                <c:v>ALL_L672</c:v>
              </c:pt>
              <c:pt idx="4">
                <c:v>ALL_L1344</c:v>
              </c:pt>
              <c:pt idx="5">
                <c:v>OT_only_L672</c:v>
              </c:pt>
              <c:pt idx="6">
                <c:v>H1_L672</c:v>
              </c:pt>
              <c:pt idx="7">
                <c:v>H2_L672</c:v>
              </c:pt>
              <c:pt idx="8">
                <c:v>H3_L672</c:v>
              </c:pt>
              <c:pt idx="9">
                <c:v>H4_L672</c:v>
              </c:pt>
            </c:strLit>
          </c:cat>
          <c:val>
            <c:numRef>
              <c:f>'3.Ablation Test통합'!$I$2:$I$11</c:f>
              <c:numCache>
                <c:formatCode>General</c:formatCode>
                <c:ptCount val="10"/>
                <c:pt idx="0">
                  <c:v>19232</c:v>
                </c:pt>
                <c:pt idx="1">
                  <c:v>19232</c:v>
                </c:pt>
                <c:pt idx="2">
                  <c:v>19232</c:v>
                </c:pt>
                <c:pt idx="3">
                  <c:v>19232</c:v>
                </c:pt>
                <c:pt idx="4">
                  <c:v>19232</c:v>
                </c:pt>
                <c:pt idx="5">
                  <c:v>18848</c:v>
                </c:pt>
                <c:pt idx="6">
                  <c:v>19040</c:v>
                </c:pt>
                <c:pt idx="7">
                  <c:v>18976</c:v>
                </c:pt>
                <c:pt idx="8">
                  <c:v>19104</c:v>
                </c:pt>
                <c:pt idx="9">
                  <c:v>18976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8-4722-BCD5-1DC40042DF86}"/>
            </c:ext>
          </c:extLst>
        </c:ser>
        <c:ser>
          <c:idx val="4"/>
          <c:order val="1"/>
          <c:tx>
            <c:v>LSTM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'3.Ablation Test통합'!$I$12:$I$21</c:f>
              <c:numCache>
                <c:formatCode>General</c:formatCode>
                <c:ptCount val="10"/>
                <c:pt idx="0">
                  <c:v>214624</c:v>
                </c:pt>
                <c:pt idx="1">
                  <c:v>214624</c:v>
                </c:pt>
                <c:pt idx="2">
                  <c:v>214624</c:v>
                </c:pt>
                <c:pt idx="3">
                  <c:v>214624</c:v>
                </c:pt>
                <c:pt idx="4">
                  <c:v>214624</c:v>
                </c:pt>
                <c:pt idx="5">
                  <c:v>211552</c:v>
                </c:pt>
                <c:pt idx="6">
                  <c:v>213088</c:v>
                </c:pt>
                <c:pt idx="7">
                  <c:v>212576</c:v>
                </c:pt>
                <c:pt idx="8">
                  <c:v>213600</c:v>
                </c:pt>
                <c:pt idx="9">
                  <c:v>212576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F8-4722-BCD5-1DC40042DF86}"/>
            </c:ext>
          </c:extLst>
        </c:ser>
        <c:ser>
          <c:idx val="5"/>
          <c:order val="2"/>
          <c:tx>
            <c:v>GRU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ALL_L96</c:v>
              </c:pt>
              <c:pt idx="1">
                <c:v>ALL_L192</c:v>
              </c:pt>
              <c:pt idx="2">
                <c:v>ALL_L336</c:v>
              </c:pt>
              <c:pt idx="3">
                <c:v>ALL_L672</c:v>
              </c:pt>
              <c:pt idx="4">
                <c:v>ALL_L1344</c:v>
              </c:pt>
              <c:pt idx="5">
                <c:v>OT_only_L672</c:v>
              </c:pt>
              <c:pt idx="6">
                <c:v>H1_L672</c:v>
              </c:pt>
              <c:pt idx="7">
                <c:v>H2_L672</c:v>
              </c:pt>
              <c:pt idx="8">
                <c:v>H3_L672</c:v>
              </c:pt>
              <c:pt idx="9">
                <c:v>H4_L672</c:v>
              </c:pt>
            </c:strLit>
          </c:cat>
          <c:val>
            <c:numRef>
              <c:f>'3.Ablation Test통합'!$I$22:$I$31</c:f>
              <c:numCache>
                <c:formatCode>General</c:formatCode>
                <c:ptCount val="10"/>
                <c:pt idx="0">
                  <c:v>164064</c:v>
                </c:pt>
                <c:pt idx="1">
                  <c:v>164064</c:v>
                </c:pt>
                <c:pt idx="2">
                  <c:v>164064</c:v>
                </c:pt>
                <c:pt idx="3">
                  <c:v>164064</c:v>
                </c:pt>
                <c:pt idx="4">
                  <c:v>164064</c:v>
                </c:pt>
                <c:pt idx="5">
                  <c:v>161760</c:v>
                </c:pt>
                <c:pt idx="6">
                  <c:v>162912</c:v>
                </c:pt>
                <c:pt idx="7">
                  <c:v>162528</c:v>
                </c:pt>
                <c:pt idx="8">
                  <c:v>163296</c:v>
                </c:pt>
                <c:pt idx="9">
                  <c:v>162528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F8-4722-BCD5-1DC40042D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08804847"/>
        <c:axId val="919953807"/>
      </c:barChart>
      <c:catAx>
        <c:axId val="1108804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Ablation Test</a:t>
                </a:r>
                <a:r>
                  <a:rPr lang="en-US" altLang="ko-KR" baseline="0"/>
                  <a:t> </a:t>
                </a:r>
                <a:r>
                  <a:rPr lang="ko-KR" altLang="en-US" baseline="0"/>
                  <a:t>시나리오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19953807"/>
        <c:crosses val="autoZero"/>
        <c:auto val="1"/>
        <c:lblAlgn val="ctr"/>
        <c:lblOffset val="100"/>
        <c:noMultiLvlLbl val="0"/>
      </c:catAx>
      <c:valAx>
        <c:axId val="91995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parameters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880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633581</xdr:colOff>
      <xdr:row>15</xdr:row>
      <xdr:rowOff>53340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7466EFB-C043-46AD-8432-D5D200EC9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11</xdr:col>
      <xdr:colOff>633581</xdr:colOff>
      <xdr:row>30</xdr:row>
      <xdr:rowOff>53340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698D755-A926-4B23-93E5-3C35B746B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22</xdr:col>
      <xdr:colOff>633580</xdr:colOff>
      <xdr:row>15</xdr:row>
      <xdr:rowOff>53340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4C651BF-3804-4A3B-8F98-FB03F00D2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workbookViewId="0">
      <selection activeCell="C6" sqref="C6"/>
    </sheetView>
  </sheetViews>
  <sheetFormatPr defaultRowHeight="17.399999999999999" x14ac:dyDescent="0.4"/>
  <cols>
    <col min="1" max="1" width="13" bestFit="1" customWidth="1"/>
    <col min="2" max="2" width="9.296875" bestFit="1" customWidth="1"/>
    <col min="4" max="4" width="11.296875" customWidth="1"/>
    <col min="5" max="5" width="1.5" customWidth="1"/>
    <col min="7" max="7" width="6.59765625" bestFit="1" customWidth="1"/>
    <col min="8" max="8" width="10.8984375" bestFit="1" customWidth="1"/>
    <col min="9" max="9" width="10.3984375" bestFit="1" customWidth="1"/>
    <col min="10" max="10" width="11.8984375" bestFit="1" customWidth="1"/>
    <col min="11" max="11" width="8" bestFit="1" customWidth="1"/>
    <col min="12" max="12" width="12.59765625" bestFit="1" customWidth="1"/>
    <col min="13" max="13" width="10.8984375" bestFit="1" customWidth="1"/>
    <col min="14" max="14" width="12.59765625" bestFit="1" customWidth="1"/>
    <col min="15" max="15" width="10.5" bestFit="1" customWidth="1"/>
  </cols>
  <sheetData>
    <row r="1" spans="1:15" x14ac:dyDescent="0.4">
      <c r="A1" s="20" t="s">
        <v>96</v>
      </c>
      <c r="B1" s="20"/>
      <c r="C1" s="20"/>
      <c r="D1" s="20"/>
      <c r="F1" s="4" t="s">
        <v>0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</row>
    <row r="2" spans="1:15" x14ac:dyDescent="0.4">
      <c r="A2" s="5"/>
      <c r="B2" s="6" t="s">
        <v>93</v>
      </c>
      <c r="C2" s="6" t="s">
        <v>94</v>
      </c>
      <c r="D2" s="6" t="s">
        <v>95</v>
      </c>
      <c r="F2" s="1" t="s">
        <v>10</v>
      </c>
      <c r="G2" s="1" t="s">
        <v>11</v>
      </c>
      <c r="H2" s="1">
        <v>32</v>
      </c>
      <c r="I2" s="1">
        <v>1</v>
      </c>
      <c r="J2" s="1">
        <v>1E-3</v>
      </c>
      <c r="K2" s="1">
        <v>0</v>
      </c>
      <c r="L2" s="1">
        <v>5.9392422994342597</v>
      </c>
      <c r="M2" s="1">
        <v>4</v>
      </c>
      <c r="N2" s="1">
        <v>56.930750299710702</v>
      </c>
      <c r="O2" s="1">
        <v>4480</v>
      </c>
    </row>
    <row r="3" spans="1:15" x14ac:dyDescent="0.4">
      <c r="A3" s="6" t="s">
        <v>97</v>
      </c>
      <c r="B3" s="8" t="s">
        <v>100</v>
      </c>
      <c r="C3" s="9" t="s">
        <v>99</v>
      </c>
      <c r="D3" s="8" t="s">
        <v>99</v>
      </c>
      <c r="F3" s="1" t="s">
        <v>12</v>
      </c>
      <c r="G3" s="1" t="s">
        <v>11</v>
      </c>
      <c r="H3" s="1">
        <v>32</v>
      </c>
      <c r="I3" s="1">
        <v>1</v>
      </c>
      <c r="J3" s="1">
        <v>2.9999999999999997E-4</v>
      </c>
      <c r="K3" s="1">
        <v>0</v>
      </c>
      <c r="L3" s="1">
        <v>6.4563279744026003</v>
      </c>
      <c r="M3" s="1">
        <v>1</v>
      </c>
      <c r="N3" s="1">
        <v>35.276759000029401</v>
      </c>
      <c r="O3" s="1">
        <v>4480</v>
      </c>
    </row>
    <row r="4" spans="1:15" x14ac:dyDescent="0.4">
      <c r="A4" s="6" t="s">
        <v>98</v>
      </c>
      <c r="B4" s="8">
        <v>2.9999999999999997E-4</v>
      </c>
      <c r="C4" s="8">
        <v>2.9999999999999997E-4</v>
      </c>
      <c r="D4" s="8">
        <v>1E-3</v>
      </c>
      <c r="F4" s="1" t="s">
        <v>13</v>
      </c>
      <c r="G4" s="1" t="s">
        <v>11</v>
      </c>
      <c r="H4" s="1">
        <v>32</v>
      </c>
      <c r="I4" s="1">
        <v>2</v>
      </c>
      <c r="J4" s="1">
        <v>1E-3</v>
      </c>
      <c r="K4" s="1">
        <v>0</v>
      </c>
      <c r="L4" s="1">
        <v>4.9630281650602601</v>
      </c>
      <c r="M4" s="1">
        <v>6</v>
      </c>
      <c r="N4" s="1">
        <v>74.663490299601094</v>
      </c>
      <c r="O4" s="1">
        <v>6592</v>
      </c>
    </row>
    <row r="5" spans="1:15" x14ac:dyDescent="0.4">
      <c r="A5" s="6" t="s">
        <v>101</v>
      </c>
      <c r="B5" s="8">
        <v>0.2</v>
      </c>
      <c r="C5" s="8">
        <v>0.2</v>
      </c>
      <c r="D5" s="8">
        <v>0.1</v>
      </c>
      <c r="F5" s="1" t="s">
        <v>14</v>
      </c>
      <c r="G5" s="1" t="s">
        <v>11</v>
      </c>
      <c r="H5" s="1">
        <v>32</v>
      </c>
      <c r="I5" s="1">
        <v>2</v>
      </c>
      <c r="J5" s="1">
        <v>1E-3</v>
      </c>
      <c r="K5" s="1">
        <v>0.1</v>
      </c>
      <c r="L5" s="1">
        <v>5.2249050600956801</v>
      </c>
      <c r="M5" s="1">
        <v>4</v>
      </c>
      <c r="N5" s="1">
        <v>63.3649323997087</v>
      </c>
      <c r="O5" s="1">
        <v>6592</v>
      </c>
    </row>
    <row r="6" spans="1:15" x14ac:dyDescent="0.4">
      <c r="F6" s="1" t="s">
        <v>15</v>
      </c>
      <c r="G6" s="1" t="s">
        <v>11</v>
      </c>
      <c r="H6" s="1">
        <v>32</v>
      </c>
      <c r="I6" s="1">
        <v>2</v>
      </c>
      <c r="J6" s="1">
        <v>1E-3</v>
      </c>
      <c r="K6" s="1">
        <v>0.2</v>
      </c>
      <c r="L6" s="1">
        <v>4.8827446249769402</v>
      </c>
      <c r="M6" s="1">
        <v>19</v>
      </c>
      <c r="N6" s="1">
        <v>169.33911799965401</v>
      </c>
      <c r="O6" s="1">
        <v>6592</v>
      </c>
    </row>
    <row r="7" spans="1:15" x14ac:dyDescent="0.4">
      <c r="A7" s="20" t="s">
        <v>92</v>
      </c>
      <c r="B7" s="20"/>
      <c r="C7" s="20"/>
      <c r="D7" s="20"/>
      <c r="F7" s="1" t="s">
        <v>16</v>
      </c>
      <c r="G7" s="1" t="s">
        <v>11</v>
      </c>
      <c r="H7" s="1">
        <v>32</v>
      </c>
      <c r="I7" s="1">
        <v>2</v>
      </c>
      <c r="J7" s="1">
        <v>2.9999999999999997E-4</v>
      </c>
      <c r="K7" s="1">
        <v>0</v>
      </c>
      <c r="L7" s="1">
        <v>4.2103680272693902</v>
      </c>
      <c r="M7" s="1">
        <v>13</v>
      </c>
      <c r="N7" s="1">
        <v>124.86927719973001</v>
      </c>
      <c r="O7" s="1">
        <v>6592</v>
      </c>
    </row>
    <row r="8" spans="1:15" x14ac:dyDescent="0.4">
      <c r="A8" s="5"/>
      <c r="B8" s="6" t="s">
        <v>85</v>
      </c>
      <c r="C8" s="6" t="s">
        <v>86</v>
      </c>
      <c r="D8" s="6" t="s">
        <v>87</v>
      </c>
      <c r="F8" s="1" t="s">
        <v>17</v>
      </c>
      <c r="G8" s="1" t="s">
        <v>11</v>
      </c>
      <c r="H8" s="1">
        <v>32</v>
      </c>
      <c r="I8" s="1">
        <v>2</v>
      </c>
      <c r="J8" s="1">
        <v>2.9999999999999997E-4</v>
      </c>
      <c r="K8" s="1">
        <v>0.1</v>
      </c>
      <c r="L8" s="1">
        <v>4.0266204459241903</v>
      </c>
      <c r="M8" s="1">
        <v>13</v>
      </c>
      <c r="N8" s="1">
        <v>123.666762200184</v>
      </c>
      <c r="O8" s="1">
        <v>6592</v>
      </c>
    </row>
    <row r="9" spans="1:15" x14ac:dyDescent="0.4">
      <c r="A9" s="6" t="s">
        <v>93</v>
      </c>
      <c r="B9" s="7" cm="1">
        <f t="array" ref="B9">SMALL(_xlfn._xlws.FILTER($L$2:$L$73,(($G$2:$G$73=B$8)*($I$2:$I$73=2)*($H$2:$H$73=64)*($J$2:$J$73=$B$4)*($K$2:$K$73=$B$5))=1),1)</f>
        <v>3.7936245392393699</v>
      </c>
      <c r="C9" s="7" cm="1">
        <f t="array" ref="C9">SMALL(_xlfn._xlws.FILTER($L$2:$L$73,(($G$2:$G$73=C$8)*($I$2:$I$73=2)*($H$2:$H$73=64)*($J$2:$J$73=$B$4)*($K$2:$K$73=$B$5))=1),1)</f>
        <v>4.80415838509251</v>
      </c>
      <c r="D9" s="7" cm="1">
        <f t="array" ref="D9">SMALL(_xlfn._xlws.FILTER($L$2:$L$73,(($G$2:$G$73=D$8)*($I$2:$I$73=2)*($H$2:$H$73=64)*($J$2:$J$73=$B$4)*($K$2:$K$73=$B$5))=1),1)</f>
        <v>3.9208824189882501</v>
      </c>
      <c r="F9" s="1" t="s">
        <v>18</v>
      </c>
      <c r="G9" s="1" t="s">
        <v>11</v>
      </c>
      <c r="H9" s="1">
        <v>32</v>
      </c>
      <c r="I9" s="1">
        <v>2</v>
      </c>
      <c r="J9" s="1">
        <v>2.9999999999999997E-4</v>
      </c>
      <c r="K9" s="1">
        <v>0.2</v>
      </c>
      <c r="L9" s="1">
        <v>4.3166455812301798</v>
      </c>
      <c r="M9" s="1">
        <v>8</v>
      </c>
      <c r="N9" s="1">
        <v>87.921805199701296</v>
      </c>
      <c r="O9" s="1">
        <v>6592</v>
      </c>
    </row>
    <row r="10" spans="1:15" x14ac:dyDescent="0.4">
      <c r="A10" s="6" t="s">
        <v>94</v>
      </c>
      <c r="B10" s="7" cm="1">
        <f t="array" ref="B10">SMALL(_xlfn._xlws.FILTER($L$2:$L$73,(($G$2:$G$73=B$8)*($I$2:$I$73=2)*($H$2:$H$73=128)*($J$2:$J$73=$C$4)*($K$2:$K$73=$C$5))=1),1)</f>
        <v>4.1290476933348401</v>
      </c>
      <c r="C10" s="7" cm="1">
        <f t="array" ref="C10">SMALL(_xlfn._xlws.FILTER($L$2:$L$73,(($G$2:$G$73=C$8)*($I$2:$I$73=2)*($H$2:$H$73=128)*($J$2:$J$73=$C$4)*($K$2:$K$73=$C$5))=1),1)</f>
        <v>4.33363181580357</v>
      </c>
      <c r="D10" s="7" cm="1">
        <f t="array" ref="D10">SMALL(_xlfn._xlws.FILTER($L$2:$L$73,(($G$2:$G$73=D$8)*($I$2:$I$73=2)*($H$2:$H$73=128)*($J$2:$J$73=$C$4)*($K$2:$K$73=$C$5))=1),1)</f>
        <v>3.7770868656911101</v>
      </c>
      <c r="F10" s="1" t="s">
        <v>19</v>
      </c>
      <c r="G10" s="1" t="s">
        <v>11</v>
      </c>
      <c r="H10" s="1">
        <v>64</v>
      </c>
      <c r="I10" s="1">
        <v>1</v>
      </c>
      <c r="J10" s="1">
        <v>1E-3</v>
      </c>
      <c r="K10" s="1">
        <v>0</v>
      </c>
      <c r="L10" s="1">
        <v>5.2671284747784197</v>
      </c>
      <c r="M10" s="1">
        <v>10</v>
      </c>
      <c r="N10" s="1">
        <v>87.258055599871994</v>
      </c>
      <c r="O10" s="1">
        <v>10912</v>
      </c>
    </row>
    <row r="11" spans="1:15" x14ac:dyDescent="0.4">
      <c r="A11" s="6" t="s">
        <v>95</v>
      </c>
      <c r="B11" s="7" cm="1">
        <f t="array" ref="B11">SMALL(_xlfn._xlws.FILTER($L$2:$L$73,(($G$2:$G$73=B$8)*($I$2:$I$73=2)*($H$2:$H$73=128)*($J$2:$J$73=$D$4)*($K$2:$K$73=$D$5))=1),1)</f>
        <v>4.9645048750451899</v>
      </c>
      <c r="C11" s="7" cm="1">
        <f t="array" ref="C11">SMALL(_xlfn._xlws.FILTER($L$2:$L$73,(($G$2:$G$73=C$8)*($I$2:$I$73=2)*($H$2:$H$73=128)*($J$2:$J$73=$D$4)*($K$2:$K$73=$D$5))=1),1)</f>
        <v>4.56625785623757</v>
      </c>
      <c r="D11" s="7" cm="1">
        <f t="array" ref="D11">SMALL(_xlfn._xlws.FILTER($L$2:$L$73,(($G$2:$G$73=D$8)*($I$2:$I$73=2)*($H$2:$H$73=128)*($J$2:$J$73=$D$4)*($K$2:$K$73=$D$5))=1),1)</f>
        <v>3.69956151308355</v>
      </c>
      <c r="F11" s="1" t="s">
        <v>20</v>
      </c>
      <c r="G11" s="1" t="s">
        <v>11</v>
      </c>
      <c r="H11" s="1">
        <v>64</v>
      </c>
      <c r="I11" s="1">
        <v>1</v>
      </c>
      <c r="J11" s="1">
        <v>2.9999999999999997E-4</v>
      </c>
      <c r="K11" s="1">
        <v>0</v>
      </c>
      <c r="L11" s="1">
        <v>4.15528377101462</v>
      </c>
      <c r="M11" s="1">
        <v>6</v>
      </c>
      <c r="N11" s="1">
        <v>69.4375079004094</v>
      </c>
      <c r="O11" s="1">
        <v>10912</v>
      </c>
    </row>
    <row r="12" spans="1:15" x14ac:dyDescent="0.4">
      <c r="F12" s="1" t="s">
        <v>21</v>
      </c>
      <c r="G12" s="1" t="s">
        <v>11</v>
      </c>
      <c r="H12" s="1">
        <v>64</v>
      </c>
      <c r="I12" s="1">
        <v>2</v>
      </c>
      <c r="J12" s="1">
        <v>1E-3</v>
      </c>
      <c r="K12" s="1">
        <v>0</v>
      </c>
      <c r="L12" s="1">
        <v>5.7593137727744201</v>
      </c>
      <c r="M12" s="1">
        <v>1</v>
      </c>
      <c r="N12" s="1">
        <v>46.036304699722599</v>
      </c>
      <c r="O12" s="1">
        <v>19232</v>
      </c>
    </row>
    <row r="13" spans="1:15" x14ac:dyDescent="0.4">
      <c r="F13" s="1" t="s">
        <v>22</v>
      </c>
      <c r="G13" s="1" t="s">
        <v>11</v>
      </c>
      <c r="H13" s="1">
        <v>64</v>
      </c>
      <c r="I13" s="1">
        <v>2</v>
      </c>
      <c r="J13" s="1">
        <v>1E-3</v>
      </c>
      <c r="K13" s="1">
        <v>0.1</v>
      </c>
      <c r="L13" s="1">
        <v>4.6048915565024799</v>
      </c>
      <c r="M13" s="1">
        <v>7</v>
      </c>
      <c r="N13" s="1">
        <v>92.7844133996404</v>
      </c>
      <c r="O13" s="1">
        <v>19232</v>
      </c>
    </row>
    <row r="14" spans="1:15" x14ac:dyDescent="0.4">
      <c r="A14" s="19" t="s">
        <v>91</v>
      </c>
      <c r="B14" s="19"/>
      <c r="C14" s="19"/>
      <c r="D14" s="19"/>
      <c r="F14" s="1" t="s">
        <v>23</v>
      </c>
      <c r="G14" s="1" t="s">
        <v>11</v>
      </c>
      <c r="H14" s="1">
        <v>64</v>
      </c>
      <c r="I14" s="1">
        <v>2</v>
      </c>
      <c r="J14" s="1">
        <v>1E-3</v>
      </c>
      <c r="K14" s="1">
        <v>0.2</v>
      </c>
      <c r="L14" s="1">
        <v>4.7393612365588096</v>
      </c>
      <c r="M14" s="1">
        <v>4</v>
      </c>
      <c r="N14" s="1">
        <v>68.450123699847595</v>
      </c>
      <c r="O14" s="1">
        <v>19232</v>
      </c>
    </row>
    <row r="15" spans="1:15" x14ac:dyDescent="0.4">
      <c r="A15" s="5"/>
      <c r="B15" s="6" t="s">
        <v>85</v>
      </c>
      <c r="C15" s="6" t="s">
        <v>86</v>
      </c>
      <c r="D15" s="6" t="s">
        <v>87</v>
      </c>
      <c r="F15" s="1" t="s">
        <v>24</v>
      </c>
      <c r="G15" s="1" t="s">
        <v>11</v>
      </c>
      <c r="H15" s="1">
        <v>64</v>
      </c>
      <c r="I15" s="1">
        <v>2</v>
      </c>
      <c r="J15" s="1">
        <v>2.9999999999999997E-4</v>
      </c>
      <c r="K15" s="1">
        <v>0</v>
      </c>
      <c r="L15" s="1">
        <v>4.0101058039918103</v>
      </c>
      <c r="M15" s="1">
        <v>4</v>
      </c>
      <c r="N15" s="1">
        <v>66.530276200268403</v>
      </c>
      <c r="O15" s="1">
        <v>19232</v>
      </c>
    </row>
    <row r="16" spans="1:15" x14ac:dyDescent="0.4">
      <c r="A16" s="6" t="s">
        <v>88</v>
      </c>
      <c r="B16" s="7" cm="1">
        <f t="array" ref="B16">SMALL(_xlfn._xlws.FILTER($L$2:$L$73,$G$2:$G$73=B$15),1)</f>
        <v>3.7936245392393699</v>
      </c>
      <c r="C16" s="7" cm="1">
        <f t="array" ref="C16">SMALL(_xlfn._xlws.FILTER($L$2:$L$73,$G$2:$G$73=C$15),1)</f>
        <v>4.33363181580357</v>
      </c>
      <c r="D16" s="7" cm="1">
        <f t="array" ref="D16">SMALL(_xlfn._xlws.FILTER($L$2:$L$73,$G$2:$G$73=D$15),1)</f>
        <v>3.69956151308355</v>
      </c>
      <c r="F16" s="1" t="s">
        <v>25</v>
      </c>
      <c r="G16" s="1" t="s">
        <v>11</v>
      </c>
      <c r="H16" s="1">
        <v>64</v>
      </c>
      <c r="I16" s="1">
        <v>2</v>
      </c>
      <c r="J16" s="1">
        <v>2.9999999999999997E-4</v>
      </c>
      <c r="K16" s="1">
        <v>0.1</v>
      </c>
      <c r="L16" s="1">
        <v>4.1062871877575597</v>
      </c>
      <c r="M16" s="1">
        <v>7</v>
      </c>
      <c r="N16" s="1">
        <v>97.990106999874101</v>
      </c>
      <c r="O16" s="1">
        <v>19232</v>
      </c>
    </row>
    <row r="17" spans="1:15" x14ac:dyDescent="0.4">
      <c r="A17" s="6" t="s">
        <v>89</v>
      </c>
      <c r="B17" s="7" cm="1">
        <f t="array" ref="B17">SMALL(_xlfn._xlws.FILTER($L$2:$L$73,$G$2:$G$73=B$15),2)</f>
        <v>4.0101058039918103</v>
      </c>
      <c r="C17" s="7" cm="1">
        <f t="array" ref="C17">SMALL(_xlfn._xlws.FILTER($L$2:$L$73,$G$2:$G$73=C$15),2)</f>
        <v>4.3345458734846396</v>
      </c>
      <c r="D17" s="7" cm="1">
        <f t="array" ref="D17">SMALL(_xlfn._xlws.FILTER($L$2:$L$73,$G$2:$G$73=D$15),2)</f>
        <v>3.7687597226376401</v>
      </c>
      <c r="F17" s="1" t="s">
        <v>26</v>
      </c>
      <c r="G17" s="1" t="s">
        <v>11</v>
      </c>
      <c r="H17" s="1">
        <v>64</v>
      </c>
      <c r="I17" s="1">
        <v>2</v>
      </c>
      <c r="J17" s="1">
        <v>2.9999999999999997E-4</v>
      </c>
      <c r="K17" s="1">
        <v>0.2</v>
      </c>
      <c r="L17" s="2">
        <v>3.7936245392393699</v>
      </c>
      <c r="M17" s="1">
        <v>7</v>
      </c>
      <c r="N17" s="1">
        <v>98.701813200022997</v>
      </c>
      <c r="O17" s="1">
        <v>19232</v>
      </c>
    </row>
    <row r="18" spans="1:15" x14ac:dyDescent="0.4">
      <c r="A18" s="6" t="s">
        <v>90</v>
      </c>
      <c r="B18" s="7" cm="1">
        <f t="array" ref="B18">SMALL(_xlfn._xlws.FILTER($L$2:$L$73,$G$2:$G$73=B$15),3)</f>
        <v>4.0266204459241903</v>
      </c>
      <c r="C18" s="7" cm="1">
        <f t="array" ref="C18">SMALL(_xlfn._xlws.FILTER($L$2:$L$73,$G$2:$G$73=C$15),3)</f>
        <v>4.4007451654160104</v>
      </c>
      <c r="D18" s="7" cm="1">
        <f t="array" ref="D18">SMALL(_xlfn._xlws.FILTER($L$2:$L$73,$G$2:$G$73=D$15),3)</f>
        <v>3.7770868656911101</v>
      </c>
      <c r="F18" s="1" t="s">
        <v>27</v>
      </c>
      <c r="G18" s="1" t="s">
        <v>11</v>
      </c>
      <c r="H18" s="1">
        <v>128</v>
      </c>
      <c r="I18" s="1">
        <v>1</v>
      </c>
      <c r="J18" s="1">
        <v>1E-3</v>
      </c>
      <c r="K18" s="1">
        <v>0</v>
      </c>
      <c r="L18" s="1">
        <v>5.32941300003582</v>
      </c>
      <c r="M18" s="1">
        <v>3</v>
      </c>
      <c r="N18" s="1">
        <v>52.909304699860499</v>
      </c>
      <c r="O18" s="1">
        <v>29920</v>
      </c>
    </row>
    <row r="19" spans="1:15" x14ac:dyDescent="0.4">
      <c r="F19" s="1" t="s">
        <v>28</v>
      </c>
      <c r="G19" s="1" t="s">
        <v>11</v>
      </c>
      <c r="H19" s="1">
        <v>128</v>
      </c>
      <c r="I19" s="1">
        <v>1</v>
      </c>
      <c r="J19" s="1">
        <v>2.9999999999999997E-4</v>
      </c>
      <c r="K19" s="1">
        <v>0</v>
      </c>
      <c r="L19" s="1">
        <v>4.0759650302868904</v>
      </c>
      <c r="M19" s="1">
        <v>4</v>
      </c>
      <c r="N19" s="1">
        <v>60.050532700028199</v>
      </c>
      <c r="O19" s="1">
        <v>29920</v>
      </c>
    </row>
    <row r="20" spans="1:15" x14ac:dyDescent="0.4">
      <c r="F20" s="1" t="s">
        <v>29</v>
      </c>
      <c r="G20" s="1" t="s">
        <v>11</v>
      </c>
      <c r="H20" s="1">
        <v>128</v>
      </c>
      <c r="I20" s="1">
        <v>2</v>
      </c>
      <c r="J20" s="1">
        <v>1E-3</v>
      </c>
      <c r="K20" s="1">
        <v>0</v>
      </c>
      <c r="L20" s="1">
        <v>5.0338485422069601</v>
      </c>
      <c r="M20" s="1">
        <v>8</v>
      </c>
      <c r="N20" s="1">
        <v>124.693423899821</v>
      </c>
      <c r="O20" s="1">
        <v>62944</v>
      </c>
    </row>
    <row r="21" spans="1:15" x14ac:dyDescent="0.4">
      <c r="F21" s="1" t="s">
        <v>30</v>
      </c>
      <c r="G21" s="1" t="s">
        <v>11</v>
      </c>
      <c r="H21" s="1">
        <v>128</v>
      </c>
      <c r="I21" s="1">
        <v>2</v>
      </c>
      <c r="J21" s="1">
        <v>1E-3</v>
      </c>
      <c r="K21" s="1">
        <v>0.1</v>
      </c>
      <c r="L21" s="1">
        <v>4.9645048750451899</v>
      </c>
      <c r="M21" s="1">
        <v>11</v>
      </c>
      <c r="N21" s="1">
        <v>162.243046000134</v>
      </c>
      <c r="O21" s="1">
        <v>62944</v>
      </c>
    </row>
    <row r="22" spans="1:15" x14ac:dyDescent="0.4">
      <c r="F22" s="1" t="s">
        <v>31</v>
      </c>
      <c r="G22" s="1" t="s">
        <v>11</v>
      </c>
      <c r="H22" s="1">
        <v>128</v>
      </c>
      <c r="I22" s="1">
        <v>2</v>
      </c>
      <c r="J22" s="1">
        <v>1E-3</v>
      </c>
      <c r="K22" s="1">
        <v>0.2</v>
      </c>
      <c r="L22" s="1">
        <v>5.6128393258732698</v>
      </c>
      <c r="M22" s="1">
        <v>3</v>
      </c>
      <c r="N22" s="1">
        <v>81.949096799828098</v>
      </c>
      <c r="O22" s="1">
        <v>62944</v>
      </c>
    </row>
    <row r="23" spans="1:15" x14ac:dyDescent="0.4">
      <c r="F23" s="1" t="s">
        <v>32</v>
      </c>
      <c r="G23" s="1" t="s">
        <v>11</v>
      </c>
      <c r="H23" s="1">
        <v>128</v>
      </c>
      <c r="I23" s="1">
        <v>2</v>
      </c>
      <c r="J23" s="1">
        <v>2.9999999999999997E-4</v>
      </c>
      <c r="K23" s="1">
        <v>0</v>
      </c>
      <c r="L23" s="1">
        <v>4.4462826835186204</v>
      </c>
      <c r="M23" s="1">
        <v>5</v>
      </c>
      <c r="N23" s="1">
        <v>95.644188199657904</v>
      </c>
      <c r="O23" s="1">
        <v>62944</v>
      </c>
    </row>
    <row r="24" spans="1:15" x14ac:dyDescent="0.4">
      <c r="F24" s="1" t="s">
        <v>33</v>
      </c>
      <c r="G24" s="1" t="s">
        <v>11</v>
      </c>
      <c r="H24" s="1">
        <v>128</v>
      </c>
      <c r="I24" s="1">
        <v>2</v>
      </c>
      <c r="J24" s="1">
        <v>2.9999999999999997E-4</v>
      </c>
      <c r="K24" s="1">
        <v>0.1</v>
      </c>
      <c r="L24" s="1">
        <v>4.3904438640957499</v>
      </c>
      <c r="M24" s="1">
        <v>5</v>
      </c>
      <c r="N24" s="1">
        <v>96.914276400115298</v>
      </c>
      <c r="O24" s="1">
        <v>62944</v>
      </c>
    </row>
    <row r="25" spans="1:15" x14ac:dyDescent="0.4">
      <c r="F25" s="1" t="s">
        <v>34</v>
      </c>
      <c r="G25" s="1" t="s">
        <v>11</v>
      </c>
      <c r="H25" s="1">
        <v>128</v>
      </c>
      <c r="I25" s="1">
        <v>2</v>
      </c>
      <c r="J25" s="1">
        <v>2.9999999999999997E-4</v>
      </c>
      <c r="K25" s="1">
        <v>0.2</v>
      </c>
      <c r="L25" s="1">
        <v>4.1290476933348401</v>
      </c>
      <c r="M25" s="1">
        <v>8</v>
      </c>
      <c r="N25" s="1">
        <v>126.043222700245</v>
      </c>
      <c r="O25" s="1">
        <v>62944</v>
      </c>
    </row>
    <row r="26" spans="1:15" x14ac:dyDescent="0.4">
      <c r="F26" s="1" t="s">
        <v>35</v>
      </c>
      <c r="G26" s="1" t="s">
        <v>36</v>
      </c>
      <c r="H26" s="1">
        <v>32</v>
      </c>
      <c r="I26" s="1">
        <v>1</v>
      </c>
      <c r="J26" s="1">
        <v>1E-3</v>
      </c>
      <c r="K26" s="1">
        <v>0</v>
      </c>
      <c r="L26" s="1">
        <v>5.1826266949586701</v>
      </c>
      <c r="M26" s="1">
        <v>3</v>
      </c>
      <c r="N26" s="1">
        <v>54.357158800121397</v>
      </c>
      <c r="O26" s="1">
        <v>8416</v>
      </c>
    </row>
    <row r="27" spans="1:15" x14ac:dyDescent="0.4">
      <c r="F27" s="1" t="s">
        <v>37</v>
      </c>
      <c r="G27" s="1" t="s">
        <v>36</v>
      </c>
      <c r="H27" s="1">
        <v>32</v>
      </c>
      <c r="I27" s="1">
        <v>1</v>
      </c>
      <c r="J27" s="1">
        <v>2.9999999999999997E-4</v>
      </c>
      <c r="K27" s="1">
        <v>0</v>
      </c>
      <c r="L27" s="1">
        <v>5.23001251826736</v>
      </c>
      <c r="M27" s="1">
        <v>7</v>
      </c>
      <c r="N27" s="1">
        <v>81.502396699972394</v>
      </c>
      <c r="O27" s="1">
        <v>8416</v>
      </c>
    </row>
    <row r="28" spans="1:15" x14ac:dyDescent="0.4">
      <c r="F28" s="1" t="s">
        <v>38</v>
      </c>
      <c r="G28" s="1" t="s">
        <v>36</v>
      </c>
      <c r="H28" s="1">
        <v>32</v>
      </c>
      <c r="I28" s="1">
        <v>2</v>
      </c>
      <c r="J28" s="1">
        <v>1E-3</v>
      </c>
      <c r="K28" s="1">
        <v>0</v>
      </c>
      <c r="L28" s="1">
        <v>4.9941563965696396</v>
      </c>
      <c r="M28" s="1">
        <v>4</v>
      </c>
      <c r="N28" s="1">
        <v>79.5473381998017</v>
      </c>
      <c r="O28" s="1">
        <v>16864</v>
      </c>
    </row>
    <row r="29" spans="1:15" x14ac:dyDescent="0.4">
      <c r="F29" s="1" t="s">
        <v>39</v>
      </c>
      <c r="G29" s="1" t="s">
        <v>36</v>
      </c>
      <c r="H29" s="1">
        <v>32</v>
      </c>
      <c r="I29" s="1">
        <v>2</v>
      </c>
      <c r="J29" s="1">
        <v>1E-3</v>
      </c>
      <c r="K29" s="1">
        <v>0.1</v>
      </c>
      <c r="L29" s="1">
        <v>4.8962626069896098</v>
      </c>
      <c r="M29" s="1">
        <v>4</v>
      </c>
      <c r="N29" s="1">
        <v>81.006213800050304</v>
      </c>
      <c r="O29" s="1">
        <v>16864</v>
      </c>
    </row>
    <row r="30" spans="1:15" x14ac:dyDescent="0.4">
      <c r="F30" s="1" t="s">
        <v>40</v>
      </c>
      <c r="G30" s="1" t="s">
        <v>36</v>
      </c>
      <c r="H30" s="1">
        <v>32</v>
      </c>
      <c r="I30" s="1">
        <v>2</v>
      </c>
      <c r="J30" s="1">
        <v>1E-3</v>
      </c>
      <c r="K30" s="1">
        <v>0.2</v>
      </c>
      <c r="L30" s="1">
        <v>4.5283682996527599</v>
      </c>
      <c r="M30" s="1">
        <v>3</v>
      </c>
      <c r="N30" s="1">
        <v>71.832772699650306</v>
      </c>
      <c r="O30" s="1">
        <v>16864</v>
      </c>
    </row>
    <row r="31" spans="1:15" x14ac:dyDescent="0.4">
      <c r="F31" s="1" t="s">
        <v>41</v>
      </c>
      <c r="G31" s="1" t="s">
        <v>36</v>
      </c>
      <c r="H31" s="1">
        <v>32</v>
      </c>
      <c r="I31" s="1">
        <v>2</v>
      </c>
      <c r="J31" s="1">
        <v>2.9999999999999997E-4</v>
      </c>
      <c r="K31" s="1">
        <v>0</v>
      </c>
      <c r="L31" s="1">
        <v>5.9176738706974303</v>
      </c>
      <c r="M31" s="1">
        <v>6</v>
      </c>
      <c r="N31" s="1">
        <v>94.570849299896494</v>
      </c>
      <c r="O31" s="1">
        <v>16864</v>
      </c>
    </row>
    <row r="32" spans="1:15" x14ac:dyDescent="0.4">
      <c r="F32" s="1" t="s">
        <v>42</v>
      </c>
      <c r="G32" s="1" t="s">
        <v>36</v>
      </c>
      <c r="H32" s="1">
        <v>32</v>
      </c>
      <c r="I32" s="1">
        <v>2</v>
      </c>
      <c r="J32" s="1">
        <v>2.9999999999999997E-4</v>
      </c>
      <c r="K32" s="1">
        <v>0.1</v>
      </c>
      <c r="L32" s="1">
        <v>5.5994858363250799</v>
      </c>
      <c r="M32" s="1">
        <v>6</v>
      </c>
      <c r="N32" s="1">
        <v>92.171539899893105</v>
      </c>
      <c r="O32" s="1">
        <v>16864</v>
      </c>
    </row>
    <row r="33" spans="6:15" x14ac:dyDescent="0.4">
      <c r="F33" s="1" t="s">
        <v>43</v>
      </c>
      <c r="G33" s="1" t="s">
        <v>36</v>
      </c>
      <c r="H33" s="1">
        <v>32</v>
      </c>
      <c r="I33" s="1">
        <v>2</v>
      </c>
      <c r="J33" s="1">
        <v>2.9999999999999997E-4</v>
      </c>
      <c r="K33" s="1">
        <v>0.2</v>
      </c>
      <c r="L33" s="1">
        <v>6.1403733369513303</v>
      </c>
      <c r="M33" s="1">
        <v>1</v>
      </c>
      <c r="N33" s="1">
        <v>50.465118899941402</v>
      </c>
      <c r="O33" s="1">
        <v>16864</v>
      </c>
    </row>
    <row r="34" spans="6:15" x14ac:dyDescent="0.4">
      <c r="F34" s="1" t="s">
        <v>44</v>
      </c>
      <c r="G34" s="1" t="s">
        <v>36</v>
      </c>
      <c r="H34" s="1">
        <v>64</v>
      </c>
      <c r="I34" s="1">
        <v>1</v>
      </c>
      <c r="J34" s="1">
        <v>1E-3</v>
      </c>
      <c r="K34" s="1">
        <v>0</v>
      </c>
      <c r="L34" s="1">
        <v>4.55905221664118</v>
      </c>
      <c r="M34" s="1">
        <v>4</v>
      </c>
      <c r="N34" s="1">
        <v>67.365337800234499</v>
      </c>
      <c r="O34" s="1">
        <v>24928</v>
      </c>
    </row>
    <row r="35" spans="6:15" x14ac:dyDescent="0.4">
      <c r="F35" s="1" t="s">
        <v>45</v>
      </c>
      <c r="G35" s="1" t="s">
        <v>36</v>
      </c>
      <c r="H35" s="1">
        <v>64</v>
      </c>
      <c r="I35" s="1">
        <v>1</v>
      </c>
      <c r="J35" s="1">
        <v>2.9999999999999997E-4</v>
      </c>
      <c r="K35" s="1">
        <v>0</v>
      </c>
      <c r="L35" s="1">
        <v>4.7060555095738703</v>
      </c>
      <c r="M35" s="1">
        <v>8</v>
      </c>
      <c r="N35" s="1">
        <v>91.162750999908894</v>
      </c>
      <c r="O35" s="1">
        <v>24928</v>
      </c>
    </row>
    <row r="36" spans="6:15" x14ac:dyDescent="0.4">
      <c r="F36" s="1" t="s">
        <v>46</v>
      </c>
      <c r="G36" s="1" t="s">
        <v>36</v>
      </c>
      <c r="H36" s="1">
        <v>64</v>
      </c>
      <c r="I36" s="1">
        <v>2</v>
      </c>
      <c r="J36" s="1">
        <v>1E-3</v>
      </c>
      <c r="K36" s="1">
        <v>0</v>
      </c>
      <c r="L36" s="1">
        <v>4.4860579182517197</v>
      </c>
      <c r="M36" s="1">
        <v>2</v>
      </c>
      <c r="N36" s="1">
        <v>67.885508100036503</v>
      </c>
      <c r="O36" s="1">
        <v>58208</v>
      </c>
    </row>
    <row r="37" spans="6:15" x14ac:dyDescent="0.4">
      <c r="F37" s="1" t="s">
        <v>47</v>
      </c>
      <c r="G37" s="1" t="s">
        <v>36</v>
      </c>
      <c r="H37" s="1">
        <v>64</v>
      </c>
      <c r="I37" s="1">
        <v>2</v>
      </c>
      <c r="J37" s="1">
        <v>1E-3</v>
      </c>
      <c r="K37" s="1">
        <v>0.1</v>
      </c>
      <c r="L37" s="1">
        <v>4.3345458734846396</v>
      </c>
      <c r="M37" s="1">
        <v>4</v>
      </c>
      <c r="N37" s="1">
        <v>88.174116400070403</v>
      </c>
      <c r="O37" s="1">
        <v>58208</v>
      </c>
    </row>
    <row r="38" spans="6:15" x14ac:dyDescent="0.4">
      <c r="F38" s="1" t="s">
        <v>48</v>
      </c>
      <c r="G38" s="1" t="s">
        <v>36</v>
      </c>
      <c r="H38" s="1">
        <v>64</v>
      </c>
      <c r="I38" s="1">
        <v>2</v>
      </c>
      <c r="J38" s="1">
        <v>1E-3</v>
      </c>
      <c r="K38" s="1">
        <v>0.2</v>
      </c>
      <c r="L38" s="1">
        <v>4.6187948105858103</v>
      </c>
      <c r="M38" s="1">
        <v>3</v>
      </c>
      <c r="N38" s="1">
        <v>78.587019599974099</v>
      </c>
      <c r="O38" s="1">
        <v>58208</v>
      </c>
    </row>
    <row r="39" spans="6:15" x14ac:dyDescent="0.4">
      <c r="F39" s="1" t="s">
        <v>49</v>
      </c>
      <c r="G39" s="1" t="s">
        <v>36</v>
      </c>
      <c r="H39" s="1">
        <v>64</v>
      </c>
      <c r="I39" s="1">
        <v>2</v>
      </c>
      <c r="J39" s="1">
        <v>2.9999999999999997E-4</v>
      </c>
      <c r="K39" s="1">
        <v>0</v>
      </c>
      <c r="L39" s="1">
        <v>4.8642692490535504</v>
      </c>
      <c r="M39" s="1">
        <v>8</v>
      </c>
      <c r="N39" s="1">
        <v>124.690935399848</v>
      </c>
      <c r="O39" s="1">
        <v>58208</v>
      </c>
    </row>
    <row r="40" spans="6:15" x14ac:dyDescent="0.4">
      <c r="F40" s="1" t="s">
        <v>50</v>
      </c>
      <c r="G40" s="1" t="s">
        <v>36</v>
      </c>
      <c r="H40" s="1">
        <v>64</v>
      </c>
      <c r="I40" s="1">
        <v>2</v>
      </c>
      <c r="J40" s="1">
        <v>2.9999999999999997E-4</v>
      </c>
      <c r="K40" s="1">
        <v>0.1</v>
      </c>
      <c r="L40" s="1">
        <v>4.9292763049395996</v>
      </c>
      <c r="M40" s="1">
        <v>3</v>
      </c>
      <c r="N40" s="1">
        <v>77.9721366995945</v>
      </c>
      <c r="O40" s="1">
        <v>58208</v>
      </c>
    </row>
    <row r="41" spans="6:15" x14ac:dyDescent="0.4">
      <c r="F41" s="1" t="s">
        <v>51</v>
      </c>
      <c r="G41" s="1" t="s">
        <v>36</v>
      </c>
      <c r="H41" s="1">
        <v>64</v>
      </c>
      <c r="I41" s="1">
        <v>2</v>
      </c>
      <c r="J41" s="1">
        <v>2.9999999999999997E-4</v>
      </c>
      <c r="K41" s="1">
        <v>0.2</v>
      </c>
      <c r="L41" s="1">
        <v>4.80415838509251</v>
      </c>
      <c r="M41" s="1">
        <v>5</v>
      </c>
      <c r="N41" s="1">
        <v>98.825859200209294</v>
      </c>
      <c r="O41" s="1">
        <v>58208</v>
      </c>
    </row>
    <row r="42" spans="6:15" x14ac:dyDescent="0.4">
      <c r="F42" s="1" t="s">
        <v>52</v>
      </c>
      <c r="G42" s="1" t="s">
        <v>36</v>
      </c>
      <c r="H42" s="1">
        <v>128</v>
      </c>
      <c r="I42" s="1">
        <v>1</v>
      </c>
      <c r="J42" s="1">
        <v>1E-3</v>
      </c>
      <c r="K42" s="1">
        <v>0</v>
      </c>
      <c r="L42" s="1">
        <v>4.5116654311403197</v>
      </c>
      <c r="M42" s="1">
        <v>2</v>
      </c>
      <c r="N42" s="1">
        <v>92.763382000382904</v>
      </c>
      <c r="O42" s="1">
        <v>82528</v>
      </c>
    </row>
    <row r="43" spans="6:15" x14ac:dyDescent="0.4">
      <c r="F43" s="1" t="s">
        <v>53</v>
      </c>
      <c r="G43" s="1" t="s">
        <v>36</v>
      </c>
      <c r="H43" s="1">
        <v>128</v>
      </c>
      <c r="I43" s="1">
        <v>1</v>
      </c>
      <c r="J43" s="1">
        <v>2.9999999999999997E-4</v>
      </c>
      <c r="K43" s="1">
        <v>0</v>
      </c>
      <c r="L43" s="1">
        <v>4.7467310649532699</v>
      </c>
      <c r="M43" s="1">
        <v>6</v>
      </c>
      <c r="N43" s="1">
        <v>146.136554799973</v>
      </c>
      <c r="O43" s="1">
        <v>82528</v>
      </c>
    </row>
    <row r="44" spans="6:15" x14ac:dyDescent="0.4">
      <c r="F44" s="1" t="s">
        <v>54</v>
      </c>
      <c r="G44" s="1" t="s">
        <v>36</v>
      </c>
      <c r="H44" s="1">
        <v>128</v>
      </c>
      <c r="I44" s="1">
        <v>2</v>
      </c>
      <c r="J44" s="1">
        <v>1E-3</v>
      </c>
      <c r="K44" s="1">
        <v>0</v>
      </c>
      <c r="L44" s="1">
        <v>4.6168431357411803</v>
      </c>
      <c r="M44" s="1">
        <v>4</v>
      </c>
      <c r="N44" s="1">
        <v>213.312300499994</v>
      </c>
      <c r="O44" s="1">
        <v>214624</v>
      </c>
    </row>
    <row r="45" spans="6:15" x14ac:dyDescent="0.4">
      <c r="F45" s="1" t="s">
        <v>55</v>
      </c>
      <c r="G45" s="1" t="s">
        <v>36</v>
      </c>
      <c r="H45" s="1">
        <v>128</v>
      </c>
      <c r="I45" s="1">
        <v>2</v>
      </c>
      <c r="J45" s="1">
        <v>1E-3</v>
      </c>
      <c r="K45" s="1">
        <v>0.1</v>
      </c>
      <c r="L45" s="1">
        <v>4.56625785623757</v>
      </c>
      <c r="M45" s="1">
        <v>5</v>
      </c>
      <c r="N45" s="1">
        <v>235.50804449990301</v>
      </c>
      <c r="O45" s="1">
        <v>214624</v>
      </c>
    </row>
    <row r="46" spans="6:15" x14ac:dyDescent="0.4">
      <c r="F46" s="1" t="s">
        <v>56</v>
      </c>
      <c r="G46" s="1" t="s">
        <v>36</v>
      </c>
      <c r="H46" s="1">
        <v>128</v>
      </c>
      <c r="I46" s="1">
        <v>2</v>
      </c>
      <c r="J46" s="1">
        <v>1E-3</v>
      </c>
      <c r="K46" s="1">
        <v>0.2</v>
      </c>
      <c r="L46" s="1">
        <v>4.4719385344535603</v>
      </c>
      <c r="M46" s="1">
        <v>3</v>
      </c>
      <c r="N46" s="1">
        <v>187.001344900112</v>
      </c>
      <c r="O46" s="1">
        <v>214624</v>
      </c>
    </row>
    <row r="47" spans="6:15" x14ac:dyDescent="0.4">
      <c r="F47" s="1" t="s">
        <v>57</v>
      </c>
      <c r="G47" s="1" t="s">
        <v>36</v>
      </c>
      <c r="H47" s="1">
        <v>128</v>
      </c>
      <c r="I47" s="1">
        <v>2</v>
      </c>
      <c r="J47" s="1">
        <v>2.9999999999999997E-4</v>
      </c>
      <c r="K47" s="1">
        <v>0</v>
      </c>
      <c r="L47" s="1">
        <v>4.5435026669690801</v>
      </c>
      <c r="M47" s="1">
        <v>4</v>
      </c>
      <c r="N47" s="1">
        <v>205.52007870003499</v>
      </c>
      <c r="O47" s="1">
        <v>214624</v>
      </c>
    </row>
    <row r="48" spans="6:15" x14ac:dyDescent="0.4">
      <c r="F48" s="1" t="s">
        <v>58</v>
      </c>
      <c r="G48" s="1" t="s">
        <v>36</v>
      </c>
      <c r="H48" s="1">
        <v>128</v>
      </c>
      <c r="I48" s="1">
        <v>2</v>
      </c>
      <c r="J48" s="1">
        <v>2.9999999999999997E-4</v>
      </c>
      <c r="K48" s="1">
        <v>0.1</v>
      </c>
      <c r="L48" s="1">
        <v>4.4007451654160104</v>
      </c>
      <c r="M48" s="1">
        <v>5</v>
      </c>
      <c r="N48" s="1">
        <v>232.41341369971599</v>
      </c>
      <c r="O48" s="1">
        <v>214624</v>
      </c>
    </row>
    <row r="49" spans="6:15" x14ac:dyDescent="0.4">
      <c r="F49" s="1" t="s">
        <v>59</v>
      </c>
      <c r="G49" s="1" t="s">
        <v>36</v>
      </c>
      <c r="H49" s="1">
        <v>128</v>
      </c>
      <c r="I49" s="1">
        <v>2</v>
      </c>
      <c r="J49" s="1">
        <v>2.9999999999999997E-4</v>
      </c>
      <c r="K49" s="1">
        <v>0.2</v>
      </c>
      <c r="L49" s="2">
        <v>4.33363181580357</v>
      </c>
      <c r="M49" s="1">
        <v>4</v>
      </c>
      <c r="N49" s="1">
        <v>186.21910240035501</v>
      </c>
      <c r="O49" s="1">
        <v>214624</v>
      </c>
    </row>
    <row r="50" spans="6:15" x14ac:dyDescent="0.4">
      <c r="F50" s="1" t="s">
        <v>60</v>
      </c>
      <c r="G50" s="1" t="s">
        <v>61</v>
      </c>
      <c r="H50" s="1">
        <v>32</v>
      </c>
      <c r="I50" s="1">
        <v>1</v>
      </c>
      <c r="J50" s="1">
        <v>1E-3</v>
      </c>
      <c r="K50" s="1">
        <v>0</v>
      </c>
      <c r="L50" s="1">
        <v>4.5998146927991002</v>
      </c>
      <c r="M50" s="1">
        <v>2</v>
      </c>
      <c r="N50" s="1">
        <v>44.240114500280399</v>
      </c>
      <c r="O50" s="1">
        <v>7104</v>
      </c>
    </row>
    <row r="51" spans="6:15" x14ac:dyDescent="0.4">
      <c r="F51" s="1" t="s">
        <v>62</v>
      </c>
      <c r="G51" s="1" t="s">
        <v>61</v>
      </c>
      <c r="H51" s="1">
        <v>32</v>
      </c>
      <c r="I51" s="1">
        <v>1</v>
      </c>
      <c r="J51" s="1">
        <v>2.9999999999999997E-4</v>
      </c>
      <c r="K51" s="1">
        <v>0</v>
      </c>
      <c r="L51" s="1">
        <v>4.7795223768857502</v>
      </c>
      <c r="M51" s="1">
        <v>7</v>
      </c>
      <c r="N51" s="1">
        <v>72.660084700211797</v>
      </c>
      <c r="O51" s="1">
        <v>7104</v>
      </c>
    </row>
    <row r="52" spans="6:15" x14ac:dyDescent="0.4">
      <c r="F52" s="1" t="s">
        <v>63</v>
      </c>
      <c r="G52" s="1" t="s">
        <v>61</v>
      </c>
      <c r="H52" s="1">
        <v>32</v>
      </c>
      <c r="I52" s="1">
        <v>2</v>
      </c>
      <c r="J52" s="1">
        <v>1E-3</v>
      </c>
      <c r="K52" s="1">
        <v>0</v>
      </c>
      <c r="L52" s="1">
        <v>3.9039198964694601</v>
      </c>
      <c r="M52" s="1">
        <v>3</v>
      </c>
      <c r="N52" s="1">
        <v>53.791578600183101</v>
      </c>
      <c r="O52" s="1">
        <v>13440</v>
      </c>
    </row>
    <row r="53" spans="6:15" x14ac:dyDescent="0.4">
      <c r="F53" s="1" t="s">
        <v>64</v>
      </c>
      <c r="G53" s="1" t="s">
        <v>61</v>
      </c>
      <c r="H53" s="1">
        <v>32</v>
      </c>
      <c r="I53" s="1">
        <v>2</v>
      </c>
      <c r="J53" s="1">
        <v>1E-3</v>
      </c>
      <c r="K53" s="1">
        <v>0.1</v>
      </c>
      <c r="L53" s="1">
        <v>4.0343504366848402</v>
      </c>
      <c r="M53" s="1">
        <v>3</v>
      </c>
      <c r="N53" s="1">
        <v>54.1895989999175</v>
      </c>
      <c r="O53" s="1">
        <v>13440</v>
      </c>
    </row>
    <row r="54" spans="6:15" x14ac:dyDescent="0.4">
      <c r="F54" s="1" t="s">
        <v>65</v>
      </c>
      <c r="G54" s="1" t="s">
        <v>61</v>
      </c>
      <c r="H54" s="1">
        <v>32</v>
      </c>
      <c r="I54" s="1">
        <v>2</v>
      </c>
      <c r="J54" s="1">
        <v>1E-3</v>
      </c>
      <c r="K54" s="1">
        <v>0.2</v>
      </c>
      <c r="L54" s="1">
        <v>3.9634104775378498</v>
      </c>
      <c r="M54" s="1">
        <v>3</v>
      </c>
      <c r="N54" s="1">
        <v>54.162458699662203</v>
      </c>
      <c r="O54" s="1">
        <v>13440</v>
      </c>
    </row>
    <row r="55" spans="6:15" x14ac:dyDescent="0.4">
      <c r="F55" s="1" t="s">
        <v>66</v>
      </c>
      <c r="G55" s="1" t="s">
        <v>61</v>
      </c>
      <c r="H55" s="1">
        <v>32</v>
      </c>
      <c r="I55" s="1">
        <v>2</v>
      </c>
      <c r="J55" s="1">
        <v>2.9999999999999997E-4</v>
      </c>
      <c r="K55" s="1">
        <v>0</v>
      </c>
      <c r="L55" s="1">
        <v>4.3312908284987603</v>
      </c>
      <c r="M55" s="1">
        <v>10</v>
      </c>
      <c r="N55" s="1">
        <v>100.973538599908</v>
      </c>
      <c r="O55" s="1">
        <v>13440</v>
      </c>
    </row>
    <row r="56" spans="6:15" x14ac:dyDescent="0.4">
      <c r="F56" s="1" t="s">
        <v>67</v>
      </c>
      <c r="G56" s="1" t="s">
        <v>61</v>
      </c>
      <c r="H56" s="1">
        <v>32</v>
      </c>
      <c r="I56" s="1">
        <v>2</v>
      </c>
      <c r="J56" s="1">
        <v>2.9999999999999997E-4</v>
      </c>
      <c r="K56" s="1">
        <v>0.1</v>
      </c>
      <c r="L56" s="1">
        <v>4.4957201644825204</v>
      </c>
      <c r="M56" s="1">
        <v>6</v>
      </c>
      <c r="N56" s="1">
        <v>74.802393599878997</v>
      </c>
      <c r="O56" s="1">
        <v>13440</v>
      </c>
    </row>
    <row r="57" spans="6:15" x14ac:dyDescent="0.4">
      <c r="F57" s="1" t="s">
        <v>68</v>
      </c>
      <c r="G57" s="1" t="s">
        <v>61</v>
      </c>
      <c r="H57" s="1">
        <v>32</v>
      </c>
      <c r="I57" s="1">
        <v>2</v>
      </c>
      <c r="J57" s="1">
        <v>2.9999999999999997E-4</v>
      </c>
      <c r="K57" s="1">
        <v>0.2</v>
      </c>
      <c r="L57" s="1">
        <v>4.5275093227619996</v>
      </c>
      <c r="M57" s="1">
        <v>6</v>
      </c>
      <c r="N57" s="1">
        <v>75.297332299873204</v>
      </c>
      <c r="O57" s="1">
        <v>13440</v>
      </c>
    </row>
    <row r="58" spans="6:15" x14ac:dyDescent="0.4">
      <c r="F58" s="1" t="s">
        <v>69</v>
      </c>
      <c r="G58" s="1" t="s">
        <v>61</v>
      </c>
      <c r="H58" s="1">
        <v>64</v>
      </c>
      <c r="I58" s="1">
        <v>1</v>
      </c>
      <c r="J58" s="1">
        <v>1E-3</v>
      </c>
      <c r="K58" s="1">
        <v>0</v>
      </c>
      <c r="L58" s="1">
        <v>4.2043766781123804</v>
      </c>
      <c r="M58" s="1">
        <v>1</v>
      </c>
      <c r="N58" s="1">
        <v>35.965834300033698</v>
      </c>
      <c r="O58" s="1">
        <v>20256</v>
      </c>
    </row>
    <row r="59" spans="6:15" x14ac:dyDescent="0.4">
      <c r="F59" s="1" t="s">
        <v>70</v>
      </c>
      <c r="G59" s="1" t="s">
        <v>61</v>
      </c>
      <c r="H59" s="1">
        <v>64</v>
      </c>
      <c r="I59" s="1">
        <v>1</v>
      </c>
      <c r="J59" s="1">
        <v>2.9999999999999997E-4</v>
      </c>
      <c r="K59" s="1">
        <v>0</v>
      </c>
      <c r="L59" s="1">
        <v>4.3823018012648403</v>
      </c>
      <c r="M59" s="1">
        <v>4</v>
      </c>
      <c r="N59" s="1">
        <v>52.369965699966997</v>
      </c>
      <c r="O59" s="1">
        <v>20256</v>
      </c>
    </row>
    <row r="60" spans="6:15" x14ac:dyDescent="0.4">
      <c r="F60" s="1" t="s">
        <v>71</v>
      </c>
      <c r="G60" s="1" t="s">
        <v>61</v>
      </c>
      <c r="H60" s="1">
        <v>64</v>
      </c>
      <c r="I60" s="1">
        <v>2</v>
      </c>
      <c r="J60" s="1">
        <v>1E-3</v>
      </c>
      <c r="K60" s="1">
        <v>0</v>
      </c>
      <c r="L60" s="1">
        <v>3.8758016590704099</v>
      </c>
      <c r="M60" s="1">
        <v>1</v>
      </c>
      <c r="N60" s="1">
        <v>47.320890299975801</v>
      </c>
      <c r="O60" s="1">
        <v>45216</v>
      </c>
    </row>
    <row r="61" spans="6:15" x14ac:dyDescent="0.4">
      <c r="F61" s="1" t="s">
        <v>72</v>
      </c>
      <c r="G61" s="1" t="s">
        <v>61</v>
      </c>
      <c r="H61" s="1">
        <v>64</v>
      </c>
      <c r="I61" s="1">
        <v>2</v>
      </c>
      <c r="J61" s="1">
        <v>1E-3</v>
      </c>
      <c r="K61" s="1">
        <v>0.1</v>
      </c>
      <c r="L61" s="1">
        <v>3.7687597226376401</v>
      </c>
      <c r="M61" s="1">
        <v>2</v>
      </c>
      <c r="N61" s="1">
        <v>55.723931200336601</v>
      </c>
      <c r="O61" s="1">
        <v>45216</v>
      </c>
    </row>
    <row r="62" spans="6:15" x14ac:dyDescent="0.4">
      <c r="F62" s="1" t="s">
        <v>73</v>
      </c>
      <c r="G62" s="1" t="s">
        <v>61</v>
      </c>
      <c r="H62" s="1">
        <v>64</v>
      </c>
      <c r="I62" s="1">
        <v>2</v>
      </c>
      <c r="J62" s="1">
        <v>1E-3</v>
      </c>
      <c r="K62" s="1">
        <v>0.2</v>
      </c>
      <c r="L62" s="1">
        <v>3.8107049451032999</v>
      </c>
      <c r="M62" s="1">
        <v>2</v>
      </c>
      <c r="N62" s="1">
        <v>55.594481100328203</v>
      </c>
      <c r="O62" s="1">
        <v>45216</v>
      </c>
    </row>
    <row r="63" spans="6:15" x14ac:dyDescent="0.4">
      <c r="F63" s="1" t="s">
        <v>74</v>
      </c>
      <c r="G63" s="1" t="s">
        <v>61</v>
      </c>
      <c r="H63" s="1">
        <v>64</v>
      </c>
      <c r="I63" s="1">
        <v>2</v>
      </c>
      <c r="J63" s="1">
        <v>2.9999999999999997E-4</v>
      </c>
      <c r="K63" s="1">
        <v>0</v>
      </c>
      <c r="L63" s="1">
        <v>4.0287904966700596</v>
      </c>
      <c r="M63" s="1">
        <v>4</v>
      </c>
      <c r="N63" s="1">
        <v>70.731589899864005</v>
      </c>
      <c r="O63" s="1">
        <v>45216</v>
      </c>
    </row>
    <row r="64" spans="6:15" x14ac:dyDescent="0.4">
      <c r="F64" s="1" t="s">
        <v>75</v>
      </c>
      <c r="G64" s="1" t="s">
        <v>61</v>
      </c>
      <c r="H64" s="1">
        <v>64</v>
      </c>
      <c r="I64" s="1">
        <v>2</v>
      </c>
      <c r="J64" s="1">
        <v>2.9999999999999997E-4</v>
      </c>
      <c r="K64" s="1">
        <v>0.1</v>
      </c>
      <c r="L64" s="1">
        <v>3.8576101819923498</v>
      </c>
      <c r="M64" s="1">
        <v>4</v>
      </c>
      <c r="N64" s="1">
        <v>79.220721000339793</v>
      </c>
      <c r="O64" s="1">
        <v>45216</v>
      </c>
    </row>
    <row r="65" spans="6:15" x14ac:dyDescent="0.4">
      <c r="F65" s="1" t="s">
        <v>76</v>
      </c>
      <c r="G65" s="1" t="s">
        <v>61</v>
      </c>
      <c r="H65" s="1">
        <v>64</v>
      </c>
      <c r="I65" s="1">
        <v>2</v>
      </c>
      <c r="J65" s="1">
        <v>2.9999999999999997E-4</v>
      </c>
      <c r="K65" s="1">
        <v>0.2</v>
      </c>
      <c r="L65" s="1">
        <v>3.9208824189882501</v>
      </c>
      <c r="M65" s="1">
        <v>4</v>
      </c>
      <c r="N65" s="1">
        <v>87.1158365998417</v>
      </c>
      <c r="O65" s="1">
        <v>45216</v>
      </c>
    </row>
    <row r="66" spans="6:15" x14ac:dyDescent="0.4">
      <c r="F66" s="1" t="s">
        <v>77</v>
      </c>
      <c r="G66" s="1" t="s">
        <v>61</v>
      </c>
      <c r="H66" s="1">
        <v>128</v>
      </c>
      <c r="I66" s="1">
        <v>1</v>
      </c>
      <c r="J66" s="1">
        <v>1E-3</v>
      </c>
      <c r="K66" s="1">
        <v>0</v>
      </c>
      <c r="L66" s="1">
        <v>4.0755308755303998</v>
      </c>
      <c r="M66" s="1">
        <v>1</v>
      </c>
      <c r="N66" s="1">
        <v>56.617734599858501</v>
      </c>
      <c r="O66" s="1">
        <v>64992</v>
      </c>
    </row>
    <row r="67" spans="6:15" x14ac:dyDescent="0.4">
      <c r="F67" s="1" t="s">
        <v>78</v>
      </c>
      <c r="G67" s="1" t="s">
        <v>61</v>
      </c>
      <c r="H67" s="1">
        <v>128</v>
      </c>
      <c r="I67" s="1">
        <v>1</v>
      </c>
      <c r="J67" s="1">
        <v>2.9999999999999997E-4</v>
      </c>
      <c r="K67" s="1">
        <v>0</v>
      </c>
      <c r="L67" s="1">
        <v>4.0452052503705103</v>
      </c>
      <c r="M67" s="1">
        <v>3</v>
      </c>
      <c r="N67" s="1">
        <v>74.951730799861195</v>
      </c>
      <c r="O67" s="1">
        <v>64992</v>
      </c>
    </row>
    <row r="68" spans="6:15" x14ac:dyDescent="0.4">
      <c r="F68" s="1" t="s">
        <v>79</v>
      </c>
      <c r="G68" s="1" t="s">
        <v>61</v>
      </c>
      <c r="H68" s="1">
        <v>128</v>
      </c>
      <c r="I68" s="1">
        <v>2</v>
      </c>
      <c r="J68" s="1">
        <v>1E-3</v>
      </c>
      <c r="K68" s="1">
        <v>0</v>
      </c>
      <c r="L68" s="1">
        <v>3.8799401728796399</v>
      </c>
      <c r="M68" s="1">
        <v>1</v>
      </c>
      <c r="N68" s="1">
        <v>89.017372000031102</v>
      </c>
      <c r="O68" s="1">
        <v>164064</v>
      </c>
    </row>
    <row r="69" spans="6:15" x14ac:dyDescent="0.4">
      <c r="F69" s="1" t="s">
        <v>80</v>
      </c>
      <c r="G69" s="1" t="s">
        <v>61</v>
      </c>
      <c r="H69" s="1">
        <v>128</v>
      </c>
      <c r="I69" s="1">
        <v>2</v>
      </c>
      <c r="J69" s="1">
        <v>1E-3</v>
      </c>
      <c r="K69" s="1">
        <v>0.1</v>
      </c>
      <c r="L69" s="3">
        <v>3.69956151308355</v>
      </c>
      <c r="M69" s="1">
        <v>1</v>
      </c>
      <c r="N69" s="1">
        <v>91.605496200267197</v>
      </c>
      <c r="O69" s="1">
        <v>164064</v>
      </c>
    </row>
    <row r="70" spans="6:15" x14ac:dyDescent="0.4">
      <c r="F70" s="1" t="s">
        <v>81</v>
      </c>
      <c r="G70" s="1" t="s">
        <v>61</v>
      </c>
      <c r="H70" s="1">
        <v>128</v>
      </c>
      <c r="I70" s="1">
        <v>2</v>
      </c>
      <c r="J70" s="1">
        <v>1E-3</v>
      </c>
      <c r="K70" s="1">
        <v>0.2</v>
      </c>
      <c r="L70" s="1">
        <v>3.90482527418723</v>
      </c>
      <c r="M70" s="1">
        <v>1</v>
      </c>
      <c r="N70" s="1">
        <v>91.678201099857603</v>
      </c>
      <c r="O70" s="1">
        <v>164064</v>
      </c>
    </row>
    <row r="71" spans="6:15" x14ac:dyDescent="0.4">
      <c r="F71" s="1" t="s">
        <v>82</v>
      </c>
      <c r="G71" s="1" t="s">
        <v>61</v>
      </c>
      <c r="H71" s="1">
        <v>128</v>
      </c>
      <c r="I71" s="1">
        <v>2</v>
      </c>
      <c r="J71" s="1">
        <v>2.9999999999999997E-4</v>
      </c>
      <c r="K71" s="1">
        <v>0</v>
      </c>
      <c r="L71" s="1">
        <v>4.0261875396622697</v>
      </c>
      <c r="M71" s="1">
        <v>1</v>
      </c>
      <c r="N71" s="1">
        <v>88.930451800115407</v>
      </c>
      <c r="O71" s="1">
        <v>164064</v>
      </c>
    </row>
    <row r="72" spans="6:15" x14ac:dyDescent="0.4">
      <c r="F72" s="1" t="s">
        <v>83</v>
      </c>
      <c r="G72" s="1" t="s">
        <v>61</v>
      </c>
      <c r="H72" s="1">
        <v>128</v>
      </c>
      <c r="I72" s="1">
        <v>2</v>
      </c>
      <c r="J72" s="1">
        <v>2.9999999999999997E-4</v>
      </c>
      <c r="K72" s="1">
        <v>0.1</v>
      </c>
      <c r="L72" s="1">
        <v>3.8943576003522899</v>
      </c>
      <c r="M72" s="1">
        <v>4</v>
      </c>
      <c r="N72" s="1">
        <v>137.14006169978501</v>
      </c>
      <c r="O72" s="1">
        <v>164064</v>
      </c>
    </row>
    <row r="73" spans="6:15" x14ac:dyDescent="0.4">
      <c r="F73" s="1" t="s">
        <v>84</v>
      </c>
      <c r="G73" s="1" t="s">
        <v>61</v>
      </c>
      <c r="H73" s="1">
        <v>128</v>
      </c>
      <c r="I73" s="1">
        <v>2</v>
      </c>
      <c r="J73" s="1">
        <v>2.9999999999999997E-4</v>
      </c>
      <c r="K73" s="1">
        <v>0.2</v>
      </c>
      <c r="L73" s="1">
        <v>3.7770868656911101</v>
      </c>
      <c r="M73" s="1">
        <v>4</v>
      </c>
      <c r="N73" s="1">
        <v>137.113642499782</v>
      </c>
      <c r="O73" s="1">
        <v>164064</v>
      </c>
    </row>
  </sheetData>
  <mergeCells count="3">
    <mergeCell ref="A14:D14"/>
    <mergeCell ref="A7:D7"/>
    <mergeCell ref="A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3F43-5FA9-4C55-8D65-FBBEF6661774}">
  <dimension ref="A1:U31"/>
  <sheetViews>
    <sheetView zoomScale="70" zoomScaleNormal="70" workbookViewId="0">
      <selection activeCell="G4" sqref="G4"/>
    </sheetView>
  </sheetViews>
  <sheetFormatPr defaultRowHeight="17.399999999999999" x14ac:dyDescent="0.4"/>
  <cols>
    <col min="1" max="1" width="20.19921875" bestFit="1" customWidth="1"/>
    <col min="18" max="18" width="10.3984375" bestFit="1" customWidth="1"/>
    <col min="19" max="19" width="13" bestFit="1" customWidth="1"/>
  </cols>
  <sheetData>
    <row r="1" spans="1:21" x14ac:dyDescent="0.4">
      <c r="A1" s="1" t="s">
        <v>0</v>
      </c>
      <c r="B1" s="1" t="s">
        <v>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7</v>
      </c>
      <c r="H1" s="1" t="s">
        <v>106</v>
      </c>
      <c r="I1" s="1" t="s">
        <v>9</v>
      </c>
      <c r="J1" s="1" t="s">
        <v>8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</row>
    <row r="2" spans="1:21" x14ac:dyDescent="0.4">
      <c r="A2" s="1" t="s">
        <v>118</v>
      </c>
      <c r="B2" s="1" t="s">
        <v>11</v>
      </c>
      <c r="C2" s="1" t="s">
        <v>119</v>
      </c>
      <c r="D2" s="1" t="s">
        <v>120</v>
      </c>
      <c r="E2" s="1" t="s">
        <v>121</v>
      </c>
      <c r="F2" s="1">
        <v>96</v>
      </c>
      <c r="G2" s="1">
        <v>10</v>
      </c>
      <c r="H2" s="1">
        <v>47337</v>
      </c>
      <c r="I2" s="1">
        <v>19232</v>
      </c>
      <c r="J2" s="1">
        <v>104.318985000019</v>
      </c>
      <c r="K2" s="1">
        <v>33.224609375</v>
      </c>
      <c r="L2" s="1">
        <v>16.591150863461401</v>
      </c>
      <c r="M2" s="1">
        <v>3.14709957438009</v>
      </c>
      <c r="N2" s="10">
        <v>4.0732236451564301</v>
      </c>
      <c r="O2" s="1">
        <v>0.50256845824046703</v>
      </c>
      <c r="P2" s="1">
        <v>20.7201691440461</v>
      </c>
      <c r="Q2" s="1">
        <v>3.3275615067798698</v>
      </c>
      <c r="R2" s="10">
        <v>4.5519412500653003</v>
      </c>
      <c r="S2" s="1">
        <v>0.69651613738905604</v>
      </c>
      <c r="T2" s="1">
        <v>0.120542385943347</v>
      </c>
      <c r="U2" s="1">
        <v>0.10848247312400799</v>
      </c>
    </row>
    <row r="3" spans="1:21" x14ac:dyDescent="0.4">
      <c r="A3" s="1" t="s">
        <v>122</v>
      </c>
      <c r="B3" s="1" t="s">
        <v>11</v>
      </c>
      <c r="C3" s="1" t="s">
        <v>119</v>
      </c>
      <c r="D3" s="1" t="s">
        <v>120</v>
      </c>
      <c r="E3" s="1" t="s">
        <v>121</v>
      </c>
      <c r="F3" s="1">
        <v>192</v>
      </c>
      <c r="G3" s="1">
        <v>8</v>
      </c>
      <c r="H3" s="1">
        <v>47337</v>
      </c>
      <c r="I3" s="1">
        <v>19232</v>
      </c>
      <c r="J3" s="1">
        <v>99.323692100006099</v>
      </c>
      <c r="K3" s="1">
        <v>49.89208984375</v>
      </c>
      <c r="L3" s="1">
        <v>15.4143919322297</v>
      </c>
      <c r="M3" s="1">
        <v>3.0864690883765902</v>
      </c>
      <c r="N3" s="10">
        <v>3.9261166478124099</v>
      </c>
      <c r="O3" s="1">
        <v>0.53784973645070899</v>
      </c>
      <c r="P3" s="1">
        <v>19.925366257818101</v>
      </c>
      <c r="Q3" s="1">
        <v>3.2954900413257802</v>
      </c>
      <c r="R3" s="10">
        <v>4.4637838498092703</v>
      </c>
      <c r="S3" s="1">
        <v>0.70815744438080397</v>
      </c>
      <c r="T3" s="1">
        <v>-2.6564611400674999E-2</v>
      </c>
      <c r="U3" s="1">
        <v>2.03250728679806E-2</v>
      </c>
    </row>
    <row r="4" spans="1:21" x14ac:dyDescent="0.4">
      <c r="A4" s="1" t="s">
        <v>123</v>
      </c>
      <c r="B4" s="1" t="s">
        <v>11</v>
      </c>
      <c r="C4" s="1" t="s">
        <v>119</v>
      </c>
      <c r="D4" s="1" t="s">
        <v>120</v>
      </c>
      <c r="E4" s="1" t="s">
        <v>121</v>
      </c>
      <c r="F4" s="1">
        <v>336</v>
      </c>
      <c r="G4" s="1">
        <v>8</v>
      </c>
      <c r="H4" s="1">
        <v>47337</v>
      </c>
      <c r="I4" s="1">
        <v>19232</v>
      </c>
      <c r="J4" s="1">
        <v>108.333337999996</v>
      </c>
      <c r="K4" s="1">
        <v>72.56591796875</v>
      </c>
      <c r="L4" s="1">
        <v>16.023842440811801</v>
      </c>
      <c r="M4" s="1">
        <v>3.1656954783577</v>
      </c>
      <c r="N4" s="10">
        <v>4.0029791956506404</v>
      </c>
      <c r="O4" s="1">
        <v>0.51957735085160195</v>
      </c>
      <c r="P4" s="1">
        <v>20.522285724517602</v>
      </c>
      <c r="Q4" s="1">
        <v>3.3880139002568801</v>
      </c>
      <c r="R4" s="10">
        <v>4.5301529471440203</v>
      </c>
      <c r="S4" s="1">
        <v>0.69941449328990102</v>
      </c>
      <c r="T4" s="1">
        <v>5.02979364375577E-2</v>
      </c>
      <c r="U4" s="1">
        <v>8.6694170202725296E-2</v>
      </c>
    </row>
    <row r="5" spans="1:21" x14ac:dyDescent="0.4">
      <c r="A5" s="1" t="s">
        <v>124</v>
      </c>
      <c r="B5" s="1" t="s">
        <v>11</v>
      </c>
      <c r="C5" s="1" t="s">
        <v>119</v>
      </c>
      <c r="D5" s="1" t="s">
        <v>120</v>
      </c>
      <c r="E5" s="1" t="s">
        <v>121</v>
      </c>
      <c r="F5" s="1">
        <v>672</v>
      </c>
      <c r="G5" s="1">
        <v>9</v>
      </c>
      <c r="H5" s="1">
        <v>47337</v>
      </c>
      <c r="I5" s="1">
        <v>19232</v>
      </c>
      <c r="J5" s="1">
        <v>115.705237100017</v>
      </c>
      <c r="K5" s="1">
        <v>126.6484375</v>
      </c>
      <c r="L5" s="1">
        <v>15.623689136934299</v>
      </c>
      <c r="M5" s="1">
        <v>3.0074352922087999</v>
      </c>
      <c r="N5" s="10">
        <v>3.95268125921308</v>
      </c>
      <c r="O5" s="1">
        <v>0.53157464245156705</v>
      </c>
      <c r="P5" s="1">
        <v>19.744325902376598</v>
      </c>
      <c r="Q5" s="1">
        <v>3.23887175582195</v>
      </c>
      <c r="R5" s="10">
        <v>4.4434587769412897</v>
      </c>
      <c r="S5" s="1">
        <v>0.71080910354323101</v>
      </c>
      <c r="T5" s="1">
        <v>0</v>
      </c>
      <c r="U5" s="1">
        <v>0</v>
      </c>
    </row>
    <row r="6" spans="1:21" x14ac:dyDescent="0.4">
      <c r="A6" s="1" t="s">
        <v>125</v>
      </c>
      <c r="B6" s="1" t="s">
        <v>11</v>
      </c>
      <c r="C6" s="1" t="s">
        <v>119</v>
      </c>
      <c r="D6" s="1" t="s">
        <v>120</v>
      </c>
      <c r="E6" s="1" t="s">
        <v>121</v>
      </c>
      <c r="F6" s="1">
        <v>1344</v>
      </c>
      <c r="G6" s="1">
        <v>8</v>
      </c>
      <c r="H6" s="1">
        <v>47337</v>
      </c>
      <c r="I6" s="1">
        <v>19232</v>
      </c>
      <c r="J6" s="1">
        <v>155.92198389995599</v>
      </c>
      <c r="K6" s="1">
        <v>235.634765625</v>
      </c>
      <c r="L6" s="1">
        <v>14.4088262009618</v>
      </c>
      <c r="M6" s="1">
        <v>3.0042574607099102</v>
      </c>
      <c r="N6" s="10">
        <v>3.79589596814268</v>
      </c>
      <c r="O6" s="1">
        <v>0.56799834495662804</v>
      </c>
      <c r="P6" s="1">
        <v>20.5045066546699</v>
      </c>
      <c r="Q6" s="1">
        <v>3.3379300392856801</v>
      </c>
      <c r="R6" s="10">
        <v>4.5281902184724903</v>
      </c>
      <c r="S6" s="1">
        <v>0.69967489950345596</v>
      </c>
      <c r="T6" s="1">
        <v>-0.15678529107040501</v>
      </c>
      <c r="U6" s="1">
        <v>8.4731441531193497E-2</v>
      </c>
    </row>
    <row r="7" spans="1:21" x14ac:dyDescent="0.4">
      <c r="A7" s="11" t="s">
        <v>126</v>
      </c>
      <c r="B7" s="11" t="s">
        <v>11</v>
      </c>
      <c r="C7" s="11" t="s">
        <v>127</v>
      </c>
      <c r="D7" s="11" t="s">
        <v>128</v>
      </c>
      <c r="E7" s="11" t="s">
        <v>129</v>
      </c>
      <c r="F7" s="11">
        <v>672</v>
      </c>
      <c r="G7" s="11">
        <v>9</v>
      </c>
      <c r="H7" s="11">
        <v>47337</v>
      </c>
      <c r="I7" s="11">
        <v>18848</v>
      </c>
      <c r="J7" s="11">
        <v>104.09193659998699</v>
      </c>
      <c r="K7" s="11">
        <v>124.181640625</v>
      </c>
      <c r="L7" s="11">
        <v>10.6793964550775</v>
      </c>
      <c r="M7" s="11">
        <v>2.4860693545566899</v>
      </c>
      <c r="N7" s="12">
        <v>3.2679345854954698</v>
      </c>
      <c r="O7" s="11">
        <v>0.67981313126326504</v>
      </c>
      <c r="P7" s="11">
        <v>16.269105924584501</v>
      </c>
      <c r="Q7" s="11">
        <v>2.9000837097519598</v>
      </c>
      <c r="R7" s="12">
        <v>4.0334979762712697</v>
      </c>
      <c r="S7" s="11">
        <v>0.76170990338472899</v>
      </c>
      <c r="T7" s="11">
        <v>-0.684746673717608</v>
      </c>
      <c r="U7" s="11">
        <v>-0.409960800670019</v>
      </c>
    </row>
    <row r="8" spans="1:21" x14ac:dyDescent="0.4">
      <c r="A8" s="1" t="s">
        <v>142</v>
      </c>
      <c r="B8" s="1" t="s">
        <v>11</v>
      </c>
      <c r="C8" s="1" t="s">
        <v>127</v>
      </c>
      <c r="D8" s="1" t="s">
        <v>143</v>
      </c>
      <c r="E8" s="1" t="s">
        <v>144</v>
      </c>
      <c r="F8" s="1">
        <v>672</v>
      </c>
      <c r="G8" s="1">
        <v>10</v>
      </c>
      <c r="H8" s="1">
        <v>47337</v>
      </c>
      <c r="I8" s="1">
        <v>19040</v>
      </c>
      <c r="J8" s="1">
        <v>129.78714960004399</v>
      </c>
      <c r="K8" s="1">
        <v>124.984375</v>
      </c>
      <c r="L8" s="1">
        <v>14.823832751345501</v>
      </c>
      <c r="M8" s="1">
        <v>2.9991391941730701</v>
      </c>
      <c r="N8" s="10">
        <v>3.8501730806998098</v>
      </c>
      <c r="O8" s="1">
        <v>0.55555572720837598</v>
      </c>
      <c r="P8" s="1">
        <v>17.683390282596299</v>
      </c>
      <c r="Q8" s="1">
        <v>3.0332394255474902</v>
      </c>
      <c r="R8" s="16">
        <v>4.2051623372464801</v>
      </c>
      <c r="S8" s="1">
        <v>0.74099518446444401</v>
      </c>
      <c r="T8" s="1"/>
      <c r="U8" s="1"/>
    </row>
    <row r="9" spans="1:21" x14ac:dyDescent="0.4">
      <c r="A9" s="1" t="s">
        <v>145</v>
      </c>
      <c r="B9" s="1" t="s">
        <v>11</v>
      </c>
      <c r="C9" s="1" t="s">
        <v>127</v>
      </c>
      <c r="D9" s="1" t="s">
        <v>146</v>
      </c>
      <c r="E9" s="1" t="s">
        <v>147</v>
      </c>
      <c r="F9" s="1">
        <v>672</v>
      </c>
      <c r="G9" s="1">
        <v>6</v>
      </c>
      <c r="H9" s="1">
        <v>47337</v>
      </c>
      <c r="I9" s="1">
        <v>18976</v>
      </c>
      <c r="J9" s="1">
        <v>100.733329699956</v>
      </c>
      <c r="K9" s="1">
        <v>124.57421875</v>
      </c>
      <c r="L9" s="1">
        <v>14.2988202548239</v>
      </c>
      <c r="M9" s="1">
        <v>2.9156080372856898</v>
      </c>
      <c r="N9" s="10">
        <v>3.78137808937745</v>
      </c>
      <c r="O9" s="1">
        <v>0.57129651443507101</v>
      </c>
      <c r="P9" s="1">
        <v>18.098158857937399</v>
      </c>
      <c r="Q9" s="1">
        <v>3.1284461757311601</v>
      </c>
      <c r="R9" s="16">
        <v>4.2541930912850399</v>
      </c>
      <c r="S9" s="1">
        <v>0.73492015831677804</v>
      </c>
      <c r="T9" s="1"/>
      <c r="U9" s="1"/>
    </row>
    <row r="10" spans="1:21" x14ac:dyDescent="0.4">
      <c r="A10" s="1" t="s">
        <v>148</v>
      </c>
      <c r="B10" s="1" t="s">
        <v>11</v>
      </c>
      <c r="C10" s="1" t="s">
        <v>127</v>
      </c>
      <c r="D10" s="1" t="s">
        <v>149</v>
      </c>
      <c r="E10" s="1" t="s">
        <v>150</v>
      </c>
      <c r="F10" s="1">
        <v>672</v>
      </c>
      <c r="G10" s="1">
        <v>4</v>
      </c>
      <c r="H10" s="1">
        <v>47337</v>
      </c>
      <c r="I10" s="1">
        <v>19104</v>
      </c>
      <c r="J10" s="1">
        <v>82.251333499967501</v>
      </c>
      <c r="K10" s="1">
        <v>125.396484375</v>
      </c>
      <c r="L10" s="1">
        <v>17.155264024570801</v>
      </c>
      <c r="M10" s="1">
        <v>3.2544294380437302</v>
      </c>
      <c r="N10" s="10">
        <v>4.1418913583737096</v>
      </c>
      <c r="O10" s="1">
        <v>0.48565536512433599</v>
      </c>
      <c r="P10" s="1">
        <v>18.6180423005666</v>
      </c>
      <c r="Q10" s="1">
        <v>3.2301290457145</v>
      </c>
      <c r="R10" s="16">
        <v>4.3148629526981104</v>
      </c>
      <c r="S10" s="1">
        <v>0.727305537307667</v>
      </c>
      <c r="T10" s="1"/>
      <c r="U10" s="1"/>
    </row>
    <row r="11" spans="1:21" x14ac:dyDescent="0.4">
      <c r="A11" s="11" t="s">
        <v>151</v>
      </c>
      <c r="B11" s="11" t="s">
        <v>11</v>
      </c>
      <c r="C11" s="11" t="s">
        <v>127</v>
      </c>
      <c r="D11" s="11" t="s">
        <v>152</v>
      </c>
      <c r="E11" s="11" t="s">
        <v>153</v>
      </c>
      <c r="F11" s="11">
        <v>672</v>
      </c>
      <c r="G11" s="11">
        <v>6</v>
      </c>
      <c r="H11" s="11">
        <v>47337</v>
      </c>
      <c r="I11" s="11">
        <v>18976</v>
      </c>
      <c r="J11" s="11">
        <v>98.9367167000309</v>
      </c>
      <c r="K11" s="11">
        <v>124.57421875</v>
      </c>
      <c r="L11" s="11">
        <v>14.4563450639497</v>
      </c>
      <c r="M11" s="11">
        <v>2.8763291791385499</v>
      </c>
      <c r="N11" s="14">
        <v>3.8021500580526402</v>
      </c>
      <c r="O11" s="11">
        <v>0.56657364684657896</v>
      </c>
      <c r="P11" s="11">
        <v>15.496654474486601</v>
      </c>
      <c r="Q11" s="11">
        <v>2.8319714700106702</v>
      </c>
      <c r="R11" s="17">
        <v>3.9365790319116698</v>
      </c>
      <c r="S11" s="11">
        <v>0.77302383369704397</v>
      </c>
      <c r="T11" s="1"/>
      <c r="U11" s="1"/>
    </row>
    <row r="12" spans="1:21" x14ac:dyDescent="0.4">
      <c r="A12" s="1" t="s">
        <v>130</v>
      </c>
      <c r="B12" s="1" t="s">
        <v>36</v>
      </c>
      <c r="C12" s="1" t="s">
        <v>119</v>
      </c>
      <c r="D12" s="1" t="s">
        <v>120</v>
      </c>
      <c r="E12" s="1" t="s">
        <v>121</v>
      </c>
      <c r="F12" s="1">
        <v>96</v>
      </c>
      <c r="G12" s="1">
        <v>4</v>
      </c>
      <c r="H12" s="1">
        <v>47337</v>
      </c>
      <c r="I12" s="1">
        <v>214624</v>
      </c>
      <c r="J12" s="1">
        <v>73.196095399965998</v>
      </c>
      <c r="K12" s="1">
        <v>75.42138671875</v>
      </c>
      <c r="L12" s="1">
        <v>21.432261073889698</v>
      </c>
      <c r="M12" s="1">
        <v>3.6987932436664201</v>
      </c>
      <c r="N12" s="10">
        <v>4.6294990089522301</v>
      </c>
      <c r="O12" s="1">
        <v>0.35742355927480601</v>
      </c>
      <c r="P12" s="1">
        <v>19.346542494299801</v>
      </c>
      <c r="Q12" s="1">
        <v>3.2301107679368699</v>
      </c>
      <c r="R12" s="10">
        <v>4.3984704721414003</v>
      </c>
      <c r="S12" s="1">
        <v>0.71663535159779201</v>
      </c>
      <c r="T12" s="1">
        <v>-8.1083212270511799E-3</v>
      </c>
      <c r="U12" s="1">
        <v>-9.2434336499174208E-3</v>
      </c>
    </row>
    <row r="13" spans="1:21" x14ac:dyDescent="0.4">
      <c r="A13" s="1" t="s">
        <v>131</v>
      </c>
      <c r="B13" s="1" t="s">
        <v>36</v>
      </c>
      <c r="C13" s="1" t="s">
        <v>119</v>
      </c>
      <c r="D13" s="1" t="s">
        <v>120</v>
      </c>
      <c r="E13" s="1" t="s">
        <v>121</v>
      </c>
      <c r="F13" s="1">
        <v>192</v>
      </c>
      <c r="G13" s="1">
        <v>4</v>
      </c>
      <c r="H13" s="1">
        <v>47337</v>
      </c>
      <c r="I13" s="1">
        <v>214624</v>
      </c>
      <c r="J13" s="1">
        <v>89.548374499950995</v>
      </c>
      <c r="K13" s="1">
        <v>129.79638671875</v>
      </c>
      <c r="L13" s="1">
        <v>21.265195474811001</v>
      </c>
      <c r="M13" s="1">
        <v>3.6111374433198802</v>
      </c>
      <c r="N13" s="10">
        <v>4.6114201147597704</v>
      </c>
      <c r="O13" s="1">
        <v>0.362432476329963</v>
      </c>
      <c r="P13" s="1">
        <v>18.918077274722101</v>
      </c>
      <c r="Q13" s="1">
        <v>3.1276131143589301</v>
      </c>
      <c r="R13" s="10">
        <v>4.34949161106469</v>
      </c>
      <c r="S13" s="1">
        <v>0.72291098954880995</v>
      </c>
      <c r="T13" s="1">
        <v>-2.6187215419512602E-2</v>
      </c>
      <c r="U13" s="1">
        <v>-5.82222947266295E-2</v>
      </c>
    </row>
    <row r="14" spans="1:21" x14ac:dyDescent="0.4">
      <c r="A14" s="1" t="s">
        <v>132</v>
      </c>
      <c r="B14" s="1" t="s">
        <v>36</v>
      </c>
      <c r="C14" s="1" t="s">
        <v>119</v>
      </c>
      <c r="D14" s="1" t="s">
        <v>120</v>
      </c>
      <c r="E14" s="1" t="s">
        <v>121</v>
      </c>
      <c r="F14" s="1">
        <v>336</v>
      </c>
      <c r="G14" s="1">
        <v>2</v>
      </c>
      <c r="H14" s="1">
        <v>47337</v>
      </c>
      <c r="I14" s="1">
        <v>214624</v>
      </c>
      <c r="J14" s="1">
        <v>102.34131519997</v>
      </c>
      <c r="K14" s="1">
        <v>211.67919921875</v>
      </c>
      <c r="L14" s="1">
        <v>21.810679372644898</v>
      </c>
      <c r="M14" s="1">
        <v>3.7240559138889502</v>
      </c>
      <c r="N14" s="10">
        <v>4.6701905071040599</v>
      </c>
      <c r="O14" s="1">
        <v>0.34607792090836897</v>
      </c>
      <c r="P14" s="1">
        <v>19.0608381541429</v>
      </c>
      <c r="Q14" s="1">
        <v>3.2354222960530801</v>
      </c>
      <c r="R14" s="10">
        <v>4.3658719809613</v>
      </c>
      <c r="S14" s="1">
        <v>0.72082000164156201</v>
      </c>
      <c r="T14" s="1">
        <v>3.2583176924779501E-2</v>
      </c>
      <c r="U14" s="1">
        <v>-4.1841924830025599E-2</v>
      </c>
    </row>
    <row r="15" spans="1:21" x14ac:dyDescent="0.4">
      <c r="A15" s="1" t="s">
        <v>133</v>
      </c>
      <c r="B15" s="1" t="s">
        <v>36</v>
      </c>
      <c r="C15" s="1" t="s">
        <v>119</v>
      </c>
      <c r="D15" s="1" t="s">
        <v>120</v>
      </c>
      <c r="E15" s="1" t="s">
        <v>121</v>
      </c>
      <c r="F15" s="1">
        <v>672</v>
      </c>
      <c r="G15" s="1">
        <v>2</v>
      </c>
      <c r="H15" s="1">
        <v>47337</v>
      </c>
      <c r="I15" s="1">
        <v>214624</v>
      </c>
      <c r="J15" s="1">
        <v>170.14506910002001</v>
      </c>
      <c r="K15" s="1">
        <v>402.67138671875</v>
      </c>
      <c r="L15" s="1">
        <v>21.507401748932601</v>
      </c>
      <c r="M15" s="1">
        <v>3.7044153209686099</v>
      </c>
      <c r="N15" s="10">
        <v>4.6376073301792804</v>
      </c>
      <c r="O15" s="1">
        <v>0.35517071122688798</v>
      </c>
      <c r="P15" s="1">
        <v>19.4279418753062</v>
      </c>
      <c r="Q15" s="1">
        <v>3.3054881813907602</v>
      </c>
      <c r="R15" s="10">
        <v>4.4077139057913204</v>
      </c>
      <c r="S15" s="1">
        <v>0.71544311236508096</v>
      </c>
      <c r="T15" s="1">
        <v>0</v>
      </c>
      <c r="U15" s="1">
        <v>0</v>
      </c>
    </row>
    <row r="16" spans="1:21" x14ac:dyDescent="0.4">
      <c r="A16" s="1" t="s">
        <v>134</v>
      </c>
      <c r="B16" s="1" t="s">
        <v>36</v>
      </c>
      <c r="C16" s="1" t="s">
        <v>119</v>
      </c>
      <c r="D16" s="1" t="s">
        <v>120</v>
      </c>
      <c r="E16" s="1" t="s">
        <v>121</v>
      </c>
      <c r="F16" s="1">
        <v>1344</v>
      </c>
      <c r="G16" s="1">
        <v>7</v>
      </c>
      <c r="H16" s="1">
        <v>47337</v>
      </c>
      <c r="I16" s="1">
        <v>214624</v>
      </c>
      <c r="J16" s="1">
        <v>528.00124020001294</v>
      </c>
      <c r="K16" s="1">
        <v>783.3427734375</v>
      </c>
      <c r="L16" s="1">
        <v>20.5009671707904</v>
      </c>
      <c r="M16" s="1">
        <v>3.4873244323146402</v>
      </c>
      <c r="N16" s="10">
        <v>4.5277993739553404</v>
      </c>
      <c r="O16" s="1">
        <v>0.38534536927233798</v>
      </c>
      <c r="P16" s="1">
        <v>23.954126789783999</v>
      </c>
      <c r="Q16" s="1">
        <v>3.4714317431564301</v>
      </c>
      <c r="R16" s="10">
        <v>4.8942953312794604</v>
      </c>
      <c r="S16" s="1">
        <v>0.64914905505369003</v>
      </c>
      <c r="T16" s="1">
        <v>-0.109807956223945</v>
      </c>
      <c r="U16" s="1">
        <v>0.48658142548814298</v>
      </c>
    </row>
    <row r="17" spans="1:21" x14ac:dyDescent="0.4">
      <c r="A17" s="11" t="s">
        <v>135</v>
      </c>
      <c r="B17" s="11" t="s">
        <v>36</v>
      </c>
      <c r="C17" s="11" t="s">
        <v>127</v>
      </c>
      <c r="D17" s="11" t="s">
        <v>128</v>
      </c>
      <c r="E17" s="11" t="s">
        <v>129</v>
      </c>
      <c r="F17" s="11">
        <v>672</v>
      </c>
      <c r="G17" s="11">
        <v>6</v>
      </c>
      <c r="H17" s="11">
        <v>47337</v>
      </c>
      <c r="I17" s="11">
        <v>211552</v>
      </c>
      <c r="J17" s="11">
        <v>254.59644330001899</v>
      </c>
      <c r="K17" s="11">
        <v>400.65576171875</v>
      </c>
      <c r="L17" s="11">
        <v>9.7014791810619307</v>
      </c>
      <c r="M17" s="11">
        <v>2.3513063629628799</v>
      </c>
      <c r="N17" s="12">
        <v>3.1147197596351899</v>
      </c>
      <c r="O17" s="11">
        <v>0.709132790961987</v>
      </c>
      <c r="P17" s="11">
        <v>16.119202540782201</v>
      </c>
      <c r="Q17" s="11">
        <v>2.7854562193329002</v>
      </c>
      <c r="R17" s="12">
        <v>4.0148726680658502</v>
      </c>
      <c r="S17" s="11">
        <v>0.76390550601801399</v>
      </c>
      <c r="T17" s="11">
        <v>-1.5228875705440901</v>
      </c>
      <c r="U17" s="11">
        <v>-0.39284123772547502</v>
      </c>
    </row>
    <row r="18" spans="1:21" x14ac:dyDescent="0.4">
      <c r="A18" s="1" t="s">
        <v>154</v>
      </c>
      <c r="B18" s="1" t="s">
        <v>36</v>
      </c>
      <c r="C18" s="1" t="s">
        <v>127</v>
      </c>
      <c r="D18" s="1" t="s">
        <v>143</v>
      </c>
      <c r="E18" s="1" t="s">
        <v>144</v>
      </c>
      <c r="F18" s="1">
        <v>672</v>
      </c>
      <c r="G18" s="1">
        <v>5</v>
      </c>
      <c r="H18" s="1">
        <v>47337</v>
      </c>
      <c r="I18" s="1">
        <v>213088</v>
      </c>
      <c r="J18" s="1">
        <v>239.593661900027</v>
      </c>
      <c r="K18" s="1">
        <v>400.8349609375</v>
      </c>
      <c r="L18" s="1">
        <v>15.3909256499094</v>
      </c>
      <c r="M18" s="1">
        <v>3.0275450465017699</v>
      </c>
      <c r="N18" s="10">
        <v>3.92312702444229</v>
      </c>
      <c r="O18" s="1">
        <v>0.53855329638395399</v>
      </c>
      <c r="P18" s="1">
        <v>19.9537011748202</v>
      </c>
      <c r="Q18" s="1">
        <v>3.3003101420748799</v>
      </c>
      <c r="R18" s="16">
        <v>4.4669565897622299</v>
      </c>
      <c r="S18" s="1">
        <v>0.70774242894348904</v>
      </c>
      <c r="T18" s="1"/>
      <c r="U18" s="1"/>
    </row>
    <row r="19" spans="1:21" x14ac:dyDescent="0.4">
      <c r="A19" s="1" t="s">
        <v>155</v>
      </c>
      <c r="B19" s="1" t="s">
        <v>36</v>
      </c>
      <c r="C19" s="1" t="s">
        <v>127</v>
      </c>
      <c r="D19" s="1" t="s">
        <v>146</v>
      </c>
      <c r="E19" s="1" t="s">
        <v>147</v>
      </c>
      <c r="F19" s="1">
        <v>672</v>
      </c>
      <c r="G19" s="1">
        <v>4</v>
      </c>
      <c r="H19" s="1">
        <v>47337</v>
      </c>
      <c r="I19" s="1">
        <v>212576</v>
      </c>
      <c r="J19" s="1">
        <v>218.636803700006</v>
      </c>
      <c r="K19" s="1">
        <v>400.4990234375</v>
      </c>
      <c r="L19" s="1">
        <v>13.856197847939301</v>
      </c>
      <c r="M19" s="1">
        <v>2.85365795364695</v>
      </c>
      <c r="N19" s="10">
        <v>3.72239141519794</v>
      </c>
      <c r="O19" s="1">
        <v>0.58456710356332697</v>
      </c>
      <c r="P19" s="1">
        <v>16.983414358208599</v>
      </c>
      <c r="Q19" s="1">
        <v>2.9258331294647602</v>
      </c>
      <c r="R19" s="16">
        <v>4.1210938303087303</v>
      </c>
      <c r="S19" s="1">
        <v>0.75124758133393998</v>
      </c>
      <c r="T19" s="1"/>
      <c r="U19" s="1"/>
    </row>
    <row r="20" spans="1:21" x14ac:dyDescent="0.4">
      <c r="A20" s="1" t="s">
        <v>156</v>
      </c>
      <c r="B20" s="1" t="s">
        <v>36</v>
      </c>
      <c r="C20" s="1" t="s">
        <v>127</v>
      </c>
      <c r="D20" s="1" t="s">
        <v>149</v>
      </c>
      <c r="E20" s="1" t="s">
        <v>150</v>
      </c>
      <c r="F20" s="1">
        <v>672</v>
      </c>
      <c r="G20" s="1">
        <v>8</v>
      </c>
      <c r="H20" s="1">
        <v>47337</v>
      </c>
      <c r="I20" s="1">
        <v>213600</v>
      </c>
      <c r="J20" s="1">
        <v>315.34800240001601</v>
      </c>
      <c r="K20" s="1">
        <v>401.1708984375</v>
      </c>
      <c r="L20" s="1">
        <v>18.679936133334799</v>
      </c>
      <c r="M20" s="1">
        <v>3.2602060909706299</v>
      </c>
      <c r="N20" s="10">
        <v>4.3220291684965302</v>
      </c>
      <c r="O20" s="1">
        <v>0.43994304510616999</v>
      </c>
      <c r="P20" s="1">
        <v>23.397358751169101</v>
      </c>
      <c r="Q20" s="1">
        <v>3.3388827345597001</v>
      </c>
      <c r="R20" s="16">
        <v>4.8370816357767898</v>
      </c>
      <c r="S20" s="1">
        <v>0.65730391681000599</v>
      </c>
      <c r="T20" s="1"/>
      <c r="U20" s="1"/>
    </row>
    <row r="21" spans="1:21" x14ac:dyDescent="0.4">
      <c r="A21" s="11" t="s">
        <v>157</v>
      </c>
      <c r="B21" s="11" t="s">
        <v>36</v>
      </c>
      <c r="C21" s="11" t="s">
        <v>127</v>
      </c>
      <c r="D21" s="11" t="s">
        <v>152</v>
      </c>
      <c r="E21" s="11" t="s">
        <v>153</v>
      </c>
      <c r="F21" s="11">
        <v>672</v>
      </c>
      <c r="G21" s="11">
        <v>4</v>
      </c>
      <c r="H21" s="11">
        <v>47337</v>
      </c>
      <c r="I21" s="11">
        <v>212576</v>
      </c>
      <c r="J21" s="11">
        <v>218.88808230002101</v>
      </c>
      <c r="K21" s="11">
        <v>400.4990234375</v>
      </c>
      <c r="L21" s="11">
        <v>18.325058771620601</v>
      </c>
      <c r="M21" s="11">
        <v>3.2896750789308999</v>
      </c>
      <c r="N21" s="14">
        <v>4.2807778232022997</v>
      </c>
      <c r="O21" s="11">
        <v>0.45058288526106799</v>
      </c>
      <c r="P21" s="11">
        <v>17.097088986368298</v>
      </c>
      <c r="Q21" s="11">
        <v>2.9986936031745999</v>
      </c>
      <c r="R21" s="17">
        <v>4.1348626321037996</v>
      </c>
      <c r="S21" s="11">
        <v>0.74958261349536004</v>
      </c>
      <c r="T21" s="1"/>
      <c r="U21" s="1"/>
    </row>
    <row r="22" spans="1:21" x14ac:dyDescent="0.4">
      <c r="A22" s="1" t="s">
        <v>136</v>
      </c>
      <c r="B22" s="1" t="s">
        <v>61</v>
      </c>
      <c r="C22" s="1" t="s">
        <v>119</v>
      </c>
      <c r="D22" s="1" t="s">
        <v>120</v>
      </c>
      <c r="E22" s="1" t="s">
        <v>121</v>
      </c>
      <c r="F22" s="1">
        <v>96</v>
      </c>
      <c r="G22" s="1">
        <v>1</v>
      </c>
      <c r="H22" s="1">
        <v>47337</v>
      </c>
      <c r="I22" s="1">
        <v>164064</v>
      </c>
      <c r="J22" s="1">
        <v>48.676961599965502</v>
      </c>
      <c r="K22" s="1">
        <v>74.0302734375</v>
      </c>
      <c r="L22" s="1">
        <v>14.1794467236338</v>
      </c>
      <c r="M22" s="1">
        <v>2.8216483001333401</v>
      </c>
      <c r="N22" s="10">
        <v>3.76556061213119</v>
      </c>
      <c r="O22" s="1">
        <v>0.57487554039619004</v>
      </c>
      <c r="P22" s="1">
        <v>18.618138222911998</v>
      </c>
      <c r="Q22" s="1">
        <v>3.09377298503364</v>
      </c>
      <c r="R22" s="10">
        <v>4.3148740680247002</v>
      </c>
      <c r="S22" s="1">
        <v>0.72730413235369595</v>
      </c>
      <c r="T22" s="1">
        <v>0.40605787904241702</v>
      </c>
      <c r="U22" s="1">
        <v>-2.0828260419570199E-2</v>
      </c>
    </row>
    <row r="23" spans="1:21" x14ac:dyDescent="0.4">
      <c r="A23" s="1" t="s">
        <v>137</v>
      </c>
      <c r="B23" s="1" t="s">
        <v>61</v>
      </c>
      <c r="C23" s="1" t="s">
        <v>119</v>
      </c>
      <c r="D23" s="1" t="s">
        <v>120</v>
      </c>
      <c r="E23" s="1" t="s">
        <v>121</v>
      </c>
      <c r="F23" s="1">
        <v>192</v>
      </c>
      <c r="G23" s="1">
        <v>1</v>
      </c>
      <c r="H23" s="1">
        <v>47337</v>
      </c>
      <c r="I23" s="1">
        <v>164064</v>
      </c>
      <c r="J23" s="1">
        <v>53.018423100002103</v>
      </c>
      <c r="K23" s="1">
        <v>126.80029296875</v>
      </c>
      <c r="L23" s="1">
        <v>13.844097245827999</v>
      </c>
      <c r="M23" s="1">
        <v>2.7977667645396198</v>
      </c>
      <c r="N23" s="10">
        <v>3.7207656800486699</v>
      </c>
      <c r="O23" s="1">
        <v>0.584929900647988</v>
      </c>
      <c r="P23" s="1">
        <v>18.358497547793899</v>
      </c>
      <c r="Q23" s="1">
        <v>3.00834681363756</v>
      </c>
      <c r="R23" s="10">
        <v>4.2846817323803501</v>
      </c>
      <c r="S23" s="1">
        <v>0.73110703349933803</v>
      </c>
      <c r="T23" s="1">
        <v>0.36126294695989802</v>
      </c>
      <c r="U23" s="1">
        <v>-5.1020596063922903E-2</v>
      </c>
    </row>
    <row r="24" spans="1:21" x14ac:dyDescent="0.4">
      <c r="A24" s="1" t="s">
        <v>138</v>
      </c>
      <c r="B24" s="1" t="s">
        <v>61</v>
      </c>
      <c r="C24" s="1" t="s">
        <v>119</v>
      </c>
      <c r="D24" s="1" t="s">
        <v>120</v>
      </c>
      <c r="E24" s="1" t="s">
        <v>121</v>
      </c>
      <c r="F24" s="1">
        <v>336</v>
      </c>
      <c r="G24" s="1">
        <v>1</v>
      </c>
      <c r="H24" s="1">
        <v>47337</v>
      </c>
      <c r="I24" s="1">
        <v>164064</v>
      </c>
      <c r="J24" s="1">
        <v>59.825220200000302</v>
      </c>
      <c r="K24" s="1">
        <v>205.79052734375</v>
      </c>
      <c r="L24" s="1">
        <v>13.4198079185542</v>
      </c>
      <c r="M24" s="1">
        <v>2.74501849897245</v>
      </c>
      <c r="N24" s="10">
        <v>3.6633055999403399</v>
      </c>
      <c r="O24" s="1">
        <v>0.59765083218280601</v>
      </c>
      <c r="P24" s="1">
        <v>19.4983786001124</v>
      </c>
      <c r="Q24" s="1">
        <v>3.0895637681041301</v>
      </c>
      <c r="R24" s="10">
        <v>4.4156968419619096</v>
      </c>
      <c r="S24" s="1">
        <v>0.71441144080075902</v>
      </c>
      <c r="T24" s="1">
        <v>0.30380286685156499</v>
      </c>
      <c r="U24" s="1">
        <v>7.9994513517637394E-2</v>
      </c>
    </row>
    <row r="25" spans="1:21" x14ac:dyDescent="0.4">
      <c r="A25" s="1" t="s">
        <v>139</v>
      </c>
      <c r="B25" s="1" t="s">
        <v>61</v>
      </c>
      <c r="C25" s="1" t="s">
        <v>119</v>
      </c>
      <c r="D25" s="1" t="s">
        <v>120</v>
      </c>
      <c r="E25" s="1" t="s">
        <v>121</v>
      </c>
      <c r="F25" s="1">
        <v>672</v>
      </c>
      <c r="G25" s="1">
        <v>1</v>
      </c>
      <c r="H25" s="1">
        <v>47337</v>
      </c>
      <c r="I25" s="1">
        <v>164064</v>
      </c>
      <c r="J25" s="1">
        <v>99.985476100002401</v>
      </c>
      <c r="K25" s="1">
        <v>390.81982421875</v>
      </c>
      <c r="L25" s="1">
        <v>11.286258613630901</v>
      </c>
      <c r="M25" s="1">
        <v>2.51161440757829</v>
      </c>
      <c r="N25" s="10">
        <v>3.3595027330887701</v>
      </c>
      <c r="O25" s="1">
        <v>0.66161834889710802</v>
      </c>
      <c r="P25" s="1">
        <v>18.798314680877098</v>
      </c>
      <c r="Q25" s="1">
        <v>3.0511197706065998</v>
      </c>
      <c r="R25" s="10">
        <v>4.3357023284442704</v>
      </c>
      <c r="S25" s="1">
        <v>0.72466512651186898</v>
      </c>
      <c r="T25" s="1">
        <v>0</v>
      </c>
      <c r="U25" s="1">
        <v>0</v>
      </c>
    </row>
    <row r="26" spans="1:21" x14ac:dyDescent="0.4">
      <c r="A26" s="1" t="s">
        <v>140</v>
      </c>
      <c r="B26" s="1" t="s">
        <v>61</v>
      </c>
      <c r="C26" s="1" t="s">
        <v>119</v>
      </c>
      <c r="D26" s="1" t="s">
        <v>120</v>
      </c>
      <c r="E26" s="1" t="s">
        <v>121</v>
      </c>
      <c r="F26" s="1">
        <v>1344</v>
      </c>
      <c r="G26" s="1">
        <v>1</v>
      </c>
      <c r="H26" s="1">
        <v>47337</v>
      </c>
      <c r="I26" s="1">
        <v>164064</v>
      </c>
      <c r="J26" s="1">
        <v>175.844753699959</v>
      </c>
      <c r="K26" s="1">
        <v>762.8623046875</v>
      </c>
      <c r="L26" s="1">
        <v>12.2621187404817</v>
      </c>
      <c r="M26" s="1">
        <v>2.64596121884765</v>
      </c>
      <c r="N26" s="10">
        <v>3.5017308206773499</v>
      </c>
      <c r="O26" s="1">
        <v>0.63236036604613699</v>
      </c>
      <c r="P26" s="1">
        <v>17.009316222889499</v>
      </c>
      <c r="Q26" s="1">
        <v>2.9033322689385601</v>
      </c>
      <c r="R26" s="10">
        <v>4.1242352288502602</v>
      </c>
      <c r="S26" s="1">
        <v>0.75086820229086604</v>
      </c>
      <c r="T26" s="1">
        <v>0.14222808758858299</v>
      </c>
      <c r="U26" s="1">
        <v>-0.211467099594014</v>
      </c>
    </row>
    <row r="27" spans="1:21" x14ac:dyDescent="0.4">
      <c r="A27" s="11" t="s">
        <v>141</v>
      </c>
      <c r="B27" s="11" t="s">
        <v>61</v>
      </c>
      <c r="C27" s="11" t="s">
        <v>127</v>
      </c>
      <c r="D27" s="11" t="s">
        <v>128</v>
      </c>
      <c r="E27" s="11" t="s">
        <v>129</v>
      </c>
      <c r="F27" s="11">
        <v>672</v>
      </c>
      <c r="G27" s="11">
        <v>2</v>
      </c>
      <c r="H27" s="11">
        <v>47337</v>
      </c>
      <c r="I27" s="11">
        <v>161760</v>
      </c>
      <c r="J27" s="11">
        <v>106.011177300009</v>
      </c>
      <c r="K27" s="11">
        <v>388.32373046875</v>
      </c>
      <c r="L27" s="11">
        <v>9.54575141686073</v>
      </c>
      <c r="M27" s="11">
        <v>2.26412682303507</v>
      </c>
      <c r="N27" s="12">
        <v>3.0896199469935999</v>
      </c>
      <c r="O27" s="11">
        <v>0.71380178002000205</v>
      </c>
      <c r="P27" s="11">
        <v>17.224004440691001</v>
      </c>
      <c r="Q27" s="11">
        <v>2.8901302721336801</v>
      </c>
      <c r="R27" s="12">
        <v>4.15018125395639</v>
      </c>
      <c r="S27" s="11">
        <v>0.74772371012275196</v>
      </c>
      <c r="T27" s="11">
        <v>-0.26988278609517602</v>
      </c>
      <c r="U27" s="11">
        <v>-0.18552107448788299</v>
      </c>
    </row>
    <row r="28" spans="1:21" x14ac:dyDescent="0.4">
      <c r="A28" s="1" t="s">
        <v>158</v>
      </c>
      <c r="B28" s="1" t="s">
        <v>61</v>
      </c>
      <c r="C28" s="1" t="s">
        <v>127</v>
      </c>
      <c r="D28" s="1" t="s">
        <v>143</v>
      </c>
      <c r="E28" s="1" t="s">
        <v>144</v>
      </c>
      <c r="F28" s="1">
        <v>672</v>
      </c>
      <c r="G28" s="1">
        <v>1</v>
      </c>
      <c r="H28" s="1">
        <v>47337</v>
      </c>
      <c r="I28" s="1">
        <v>162912</v>
      </c>
      <c r="J28" s="1">
        <v>97.095624300010897</v>
      </c>
      <c r="K28" s="1">
        <v>389.57177734375</v>
      </c>
      <c r="L28" s="1">
        <v>11.688142728069799</v>
      </c>
      <c r="M28" s="1">
        <v>2.6053591351046599</v>
      </c>
      <c r="N28" s="10">
        <v>3.4187925833647501</v>
      </c>
      <c r="O28" s="1">
        <v>0.64956916458800396</v>
      </c>
      <c r="P28" s="1">
        <v>16.246849119539899</v>
      </c>
      <c r="Q28" s="1">
        <v>2.88411359414471</v>
      </c>
      <c r="R28" s="15">
        <v>4.0307380365808898</v>
      </c>
      <c r="S28" s="1">
        <v>0.76203589402299698</v>
      </c>
      <c r="T28" s="1"/>
      <c r="U28" s="1"/>
    </row>
    <row r="29" spans="1:21" x14ac:dyDescent="0.4">
      <c r="A29" s="1" t="s">
        <v>159</v>
      </c>
      <c r="B29" s="1" t="s">
        <v>61</v>
      </c>
      <c r="C29" s="1" t="s">
        <v>127</v>
      </c>
      <c r="D29" s="1" t="s">
        <v>146</v>
      </c>
      <c r="E29" s="1" t="s">
        <v>147</v>
      </c>
      <c r="F29" s="1">
        <v>672</v>
      </c>
      <c r="G29" s="1">
        <v>1</v>
      </c>
      <c r="H29" s="1">
        <v>47337</v>
      </c>
      <c r="I29" s="1">
        <v>162528</v>
      </c>
      <c r="J29" s="1">
        <v>99.491366999980499</v>
      </c>
      <c r="K29" s="1">
        <v>389.15576171875</v>
      </c>
      <c r="L29" s="1">
        <v>13.485818002075501</v>
      </c>
      <c r="M29" s="1">
        <v>2.7934083993994401</v>
      </c>
      <c r="N29" s="10">
        <v>3.67230418158349</v>
      </c>
      <c r="O29" s="1">
        <v>0.59567173513957405</v>
      </c>
      <c r="P29" s="1">
        <v>16.6138118728305</v>
      </c>
      <c r="Q29" s="1">
        <v>2.8565669666509299</v>
      </c>
      <c r="R29" s="16">
        <v>4.0760044004920397</v>
      </c>
      <c r="S29" s="1">
        <v>0.75666106947264</v>
      </c>
      <c r="T29" s="1"/>
      <c r="U29" s="1"/>
    </row>
    <row r="30" spans="1:21" x14ac:dyDescent="0.4">
      <c r="A30" s="1" t="s">
        <v>160</v>
      </c>
      <c r="B30" s="1" t="s">
        <v>61</v>
      </c>
      <c r="C30" s="1" t="s">
        <v>127</v>
      </c>
      <c r="D30" s="1" t="s">
        <v>149</v>
      </c>
      <c r="E30" s="1" t="s">
        <v>150</v>
      </c>
      <c r="F30" s="1">
        <v>672</v>
      </c>
      <c r="G30" s="1">
        <v>2</v>
      </c>
      <c r="H30" s="1">
        <v>47337</v>
      </c>
      <c r="I30" s="1">
        <v>163296</v>
      </c>
      <c r="J30" s="1">
        <v>115.444016899971</v>
      </c>
      <c r="K30" s="1">
        <v>389.98779296875</v>
      </c>
      <c r="L30" s="1">
        <v>17.4610031741651</v>
      </c>
      <c r="M30" s="1">
        <v>3.1747043078430499</v>
      </c>
      <c r="N30" s="10">
        <v>4.1786365209437797</v>
      </c>
      <c r="O30" s="1">
        <v>0.47648877398123002</v>
      </c>
      <c r="P30" s="1">
        <v>20.581780206104501</v>
      </c>
      <c r="Q30" s="1">
        <v>3.16254441228019</v>
      </c>
      <c r="R30" s="16">
        <v>4.5367146930465596</v>
      </c>
      <c r="S30" s="1">
        <v>0.69854309040942697</v>
      </c>
    </row>
    <row r="31" spans="1:21" x14ac:dyDescent="0.4">
      <c r="A31" s="1" t="s">
        <v>161</v>
      </c>
      <c r="B31" s="1" t="s">
        <v>61</v>
      </c>
      <c r="C31" s="1" t="s">
        <v>127</v>
      </c>
      <c r="D31" s="1" t="s">
        <v>152</v>
      </c>
      <c r="E31" s="1" t="s">
        <v>153</v>
      </c>
      <c r="F31" s="1">
        <v>672</v>
      </c>
      <c r="G31" s="1">
        <v>1</v>
      </c>
      <c r="H31" s="1">
        <v>47337</v>
      </c>
      <c r="I31" s="1">
        <v>162528</v>
      </c>
      <c r="J31" s="1">
        <v>101.805088400025</v>
      </c>
      <c r="K31" s="1">
        <v>389.15576171875</v>
      </c>
      <c r="L31" s="1">
        <v>14.0306457238747</v>
      </c>
      <c r="M31" s="1">
        <v>2.89630075683823</v>
      </c>
      <c r="N31" s="10">
        <v>3.7457503552525702</v>
      </c>
      <c r="O31" s="1">
        <v>0.57933685301607096</v>
      </c>
      <c r="P31" s="1">
        <v>17.322947702070699</v>
      </c>
      <c r="Q31" s="1">
        <v>2.9664209437292901</v>
      </c>
      <c r="R31" s="16">
        <v>4.1620845380735201</v>
      </c>
      <c r="S31" s="1">
        <v>0.74627450944615203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818C-394C-4905-904C-227A0EF89DDF}">
  <dimension ref="A1:U19"/>
  <sheetViews>
    <sheetView zoomScale="85" zoomScaleNormal="85" workbookViewId="0">
      <selection activeCell="E7" sqref="A1:U19"/>
    </sheetView>
  </sheetViews>
  <sheetFormatPr defaultRowHeight="17.399999999999999" x14ac:dyDescent="0.4"/>
  <cols>
    <col min="1" max="1" width="18.19921875" customWidth="1"/>
    <col min="10" max="10" width="13.5" customWidth="1"/>
    <col min="11" max="11" width="10.69921875" customWidth="1"/>
    <col min="18" max="18" width="9.8984375" bestFit="1" customWidth="1"/>
  </cols>
  <sheetData>
    <row r="1" spans="1:21" x14ac:dyDescent="0.4">
      <c r="A1" s="1" t="s">
        <v>0</v>
      </c>
      <c r="B1" s="1" t="s">
        <v>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7</v>
      </c>
      <c r="H1" s="1" t="s">
        <v>106</v>
      </c>
      <c r="I1" s="1" t="s">
        <v>9</v>
      </c>
      <c r="J1" s="1" t="s">
        <v>8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</row>
    <row r="2" spans="1:21" x14ac:dyDescent="0.4">
      <c r="A2" s="1" t="s">
        <v>118</v>
      </c>
      <c r="B2" s="1" t="s">
        <v>11</v>
      </c>
      <c r="C2" s="1" t="s">
        <v>119</v>
      </c>
      <c r="D2" s="1" t="s">
        <v>120</v>
      </c>
      <c r="E2" s="1" t="s">
        <v>121</v>
      </c>
      <c r="F2" s="1">
        <v>96</v>
      </c>
      <c r="G2" s="1">
        <v>10</v>
      </c>
      <c r="H2" s="1">
        <v>47337</v>
      </c>
      <c r="I2" s="1">
        <v>19232</v>
      </c>
      <c r="J2" s="1">
        <v>104.318985000019</v>
      </c>
      <c r="K2" s="1">
        <v>33.224609375</v>
      </c>
      <c r="L2" s="1">
        <v>16.591150863461401</v>
      </c>
      <c r="M2" s="1">
        <v>3.14709957438009</v>
      </c>
      <c r="N2" s="10">
        <v>4.0732236451564301</v>
      </c>
      <c r="O2" s="1">
        <v>0.50256845824046703</v>
      </c>
      <c r="P2" s="1">
        <v>20.7201691440461</v>
      </c>
      <c r="Q2" s="1">
        <v>3.3275615067798698</v>
      </c>
      <c r="R2" s="10">
        <v>4.5519412500653003</v>
      </c>
      <c r="S2" s="1">
        <v>0.69651613738905604</v>
      </c>
      <c r="T2" s="1">
        <v>0.120542385943347</v>
      </c>
      <c r="U2" s="1">
        <v>0.10848247312400799</v>
      </c>
    </row>
    <row r="3" spans="1:21" x14ac:dyDescent="0.4">
      <c r="A3" s="1" t="s">
        <v>122</v>
      </c>
      <c r="B3" s="1" t="s">
        <v>11</v>
      </c>
      <c r="C3" s="1" t="s">
        <v>119</v>
      </c>
      <c r="D3" s="1" t="s">
        <v>120</v>
      </c>
      <c r="E3" s="1" t="s">
        <v>121</v>
      </c>
      <c r="F3" s="1">
        <v>192</v>
      </c>
      <c r="G3" s="1">
        <v>8</v>
      </c>
      <c r="H3" s="1">
        <v>47337</v>
      </c>
      <c r="I3" s="1">
        <v>19232</v>
      </c>
      <c r="J3" s="1">
        <v>99.323692100006099</v>
      </c>
      <c r="K3" s="1">
        <v>49.89208984375</v>
      </c>
      <c r="L3" s="1">
        <v>15.4143919322297</v>
      </c>
      <c r="M3" s="1">
        <v>3.0864690883765902</v>
      </c>
      <c r="N3" s="10">
        <v>3.9261166478124099</v>
      </c>
      <c r="O3" s="1">
        <v>0.53784973645070899</v>
      </c>
      <c r="P3" s="1">
        <v>19.925366257818101</v>
      </c>
      <c r="Q3" s="1">
        <v>3.2954900413257802</v>
      </c>
      <c r="R3" s="10">
        <v>4.4637838498092703</v>
      </c>
      <c r="S3" s="1">
        <v>0.70815744438080397</v>
      </c>
      <c r="T3" s="1">
        <v>-2.6564611400674999E-2</v>
      </c>
      <c r="U3" s="1">
        <v>2.03250728679806E-2</v>
      </c>
    </row>
    <row r="4" spans="1:21" x14ac:dyDescent="0.4">
      <c r="A4" s="1" t="s">
        <v>123</v>
      </c>
      <c r="B4" s="1" t="s">
        <v>11</v>
      </c>
      <c r="C4" s="1" t="s">
        <v>119</v>
      </c>
      <c r="D4" s="1" t="s">
        <v>120</v>
      </c>
      <c r="E4" s="1" t="s">
        <v>121</v>
      </c>
      <c r="F4" s="1">
        <v>336</v>
      </c>
      <c r="G4" s="1">
        <v>8</v>
      </c>
      <c r="H4" s="1">
        <v>47337</v>
      </c>
      <c r="I4" s="1">
        <v>19232</v>
      </c>
      <c r="J4" s="1">
        <v>108.333337999996</v>
      </c>
      <c r="K4" s="1">
        <v>72.56591796875</v>
      </c>
      <c r="L4" s="1">
        <v>16.023842440811801</v>
      </c>
      <c r="M4" s="1">
        <v>3.1656954783577</v>
      </c>
      <c r="N4" s="10">
        <v>4.0029791956506404</v>
      </c>
      <c r="O4" s="1">
        <v>0.51957735085160195</v>
      </c>
      <c r="P4" s="1">
        <v>20.522285724517602</v>
      </c>
      <c r="Q4" s="1">
        <v>3.3880139002568801</v>
      </c>
      <c r="R4" s="10">
        <v>4.5301529471440203</v>
      </c>
      <c r="S4" s="1">
        <v>0.69941449328990102</v>
      </c>
      <c r="T4" s="1">
        <v>5.02979364375577E-2</v>
      </c>
      <c r="U4" s="1">
        <v>8.6694170202725296E-2</v>
      </c>
    </row>
    <row r="5" spans="1:21" x14ac:dyDescent="0.4">
      <c r="A5" s="1" t="s">
        <v>124</v>
      </c>
      <c r="B5" s="1" t="s">
        <v>11</v>
      </c>
      <c r="C5" s="1" t="s">
        <v>119</v>
      </c>
      <c r="D5" s="1" t="s">
        <v>120</v>
      </c>
      <c r="E5" s="1" t="s">
        <v>121</v>
      </c>
      <c r="F5" s="1">
        <v>672</v>
      </c>
      <c r="G5" s="1">
        <v>9</v>
      </c>
      <c r="H5" s="1">
        <v>47337</v>
      </c>
      <c r="I5" s="1">
        <v>19232</v>
      </c>
      <c r="J5" s="1">
        <v>115.705237100017</v>
      </c>
      <c r="K5" s="1">
        <v>126.6484375</v>
      </c>
      <c r="L5" s="1">
        <v>15.623689136934299</v>
      </c>
      <c r="M5" s="1">
        <v>3.0074352922087999</v>
      </c>
      <c r="N5" s="10">
        <v>3.95268125921308</v>
      </c>
      <c r="O5" s="1">
        <v>0.53157464245156705</v>
      </c>
      <c r="P5" s="1">
        <v>19.744325902376598</v>
      </c>
      <c r="Q5" s="1">
        <v>3.23887175582195</v>
      </c>
      <c r="R5" s="10">
        <v>4.4434587769412897</v>
      </c>
      <c r="S5" s="1">
        <v>0.71080910354323101</v>
      </c>
      <c r="T5" s="1">
        <v>0</v>
      </c>
      <c r="U5" s="1">
        <v>0</v>
      </c>
    </row>
    <row r="6" spans="1:21" x14ac:dyDescent="0.4">
      <c r="A6" s="1" t="s">
        <v>125</v>
      </c>
      <c r="B6" s="1" t="s">
        <v>11</v>
      </c>
      <c r="C6" s="1" t="s">
        <v>119</v>
      </c>
      <c r="D6" s="1" t="s">
        <v>120</v>
      </c>
      <c r="E6" s="1" t="s">
        <v>121</v>
      </c>
      <c r="F6" s="1">
        <v>1344</v>
      </c>
      <c r="G6" s="1">
        <v>8</v>
      </c>
      <c r="H6" s="1">
        <v>47337</v>
      </c>
      <c r="I6" s="1">
        <v>19232</v>
      </c>
      <c r="J6" s="1">
        <v>155.92198389995599</v>
      </c>
      <c r="K6" s="1">
        <v>235.634765625</v>
      </c>
      <c r="L6" s="1">
        <v>14.4088262009618</v>
      </c>
      <c r="M6" s="1">
        <v>3.0042574607099102</v>
      </c>
      <c r="N6" s="10">
        <v>3.79589596814268</v>
      </c>
      <c r="O6" s="1">
        <v>0.56799834495662804</v>
      </c>
      <c r="P6" s="1">
        <v>20.5045066546699</v>
      </c>
      <c r="Q6" s="1">
        <v>3.3379300392856801</v>
      </c>
      <c r="R6" s="10">
        <v>4.5281902184724903</v>
      </c>
      <c r="S6" s="1">
        <v>0.69967489950345596</v>
      </c>
      <c r="T6" s="1">
        <v>-0.15678529107040501</v>
      </c>
      <c r="U6" s="1">
        <v>8.4731441531193497E-2</v>
      </c>
    </row>
    <row r="7" spans="1:21" x14ac:dyDescent="0.4">
      <c r="A7" s="11" t="s">
        <v>126</v>
      </c>
      <c r="B7" s="11" t="s">
        <v>11</v>
      </c>
      <c r="C7" s="11" t="s">
        <v>127</v>
      </c>
      <c r="D7" s="11" t="s">
        <v>128</v>
      </c>
      <c r="E7" s="11" t="s">
        <v>129</v>
      </c>
      <c r="F7" s="11">
        <v>672</v>
      </c>
      <c r="G7" s="11">
        <v>9</v>
      </c>
      <c r="H7" s="11">
        <v>47337</v>
      </c>
      <c r="I7" s="11">
        <v>18848</v>
      </c>
      <c r="J7" s="11">
        <v>104.09193659998699</v>
      </c>
      <c r="K7" s="11">
        <v>124.181640625</v>
      </c>
      <c r="L7" s="11">
        <v>10.6793964550775</v>
      </c>
      <c r="M7" s="11">
        <v>2.4860693545566899</v>
      </c>
      <c r="N7" s="12">
        <v>3.2679345854954698</v>
      </c>
      <c r="O7" s="11">
        <v>0.67981313126326504</v>
      </c>
      <c r="P7" s="11">
        <v>16.269105924584501</v>
      </c>
      <c r="Q7" s="11">
        <v>2.9000837097519598</v>
      </c>
      <c r="R7" s="12">
        <v>4.0334979762712697</v>
      </c>
      <c r="S7" s="11">
        <v>0.76170990338472899</v>
      </c>
      <c r="T7" s="11">
        <v>-0.684746673717608</v>
      </c>
      <c r="U7" s="11">
        <v>-0.409960800670019</v>
      </c>
    </row>
    <row r="8" spans="1:21" x14ac:dyDescent="0.4">
      <c r="A8" s="1" t="s">
        <v>130</v>
      </c>
      <c r="B8" s="1" t="s">
        <v>36</v>
      </c>
      <c r="C8" s="1" t="s">
        <v>119</v>
      </c>
      <c r="D8" s="1" t="s">
        <v>120</v>
      </c>
      <c r="E8" s="1" t="s">
        <v>121</v>
      </c>
      <c r="F8" s="1">
        <v>96</v>
      </c>
      <c r="G8" s="1">
        <v>4</v>
      </c>
      <c r="H8" s="1">
        <v>47337</v>
      </c>
      <c r="I8" s="1">
        <v>214624</v>
      </c>
      <c r="J8" s="1">
        <v>73.196095399965998</v>
      </c>
      <c r="K8" s="1">
        <v>75.42138671875</v>
      </c>
      <c r="L8" s="1">
        <v>21.432261073889698</v>
      </c>
      <c r="M8" s="1">
        <v>3.6987932436664201</v>
      </c>
      <c r="N8" s="10">
        <v>4.6294990089522301</v>
      </c>
      <c r="O8" s="1">
        <v>0.35742355927480601</v>
      </c>
      <c r="P8" s="1">
        <v>19.346542494299801</v>
      </c>
      <c r="Q8" s="1">
        <v>3.2301107679368699</v>
      </c>
      <c r="R8" s="10">
        <v>4.3984704721414003</v>
      </c>
      <c r="S8" s="1">
        <v>0.71663535159779201</v>
      </c>
      <c r="T8" s="1">
        <v>-8.1083212270511799E-3</v>
      </c>
      <c r="U8" s="1">
        <v>-9.2434336499174208E-3</v>
      </c>
    </row>
    <row r="9" spans="1:21" x14ac:dyDescent="0.4">
      <c r="A9" s="1" t="s">
        <v>131</v>
      </c>
      <c r="B9" s="1" t="s">
        <v>36</v>
      </c>
      <c r="C9" s="1" t="s">
        <v>119</v>
      </c>
      <c r="D9" s="1" t="s">
        <v>120</v>
      </c>
      <c r="E9" s="1" t="s">
        <v>121</v>
      </c>
      <c r="F9" s="1">
        <v>192</v>
      </c>
      <c r="G9" s="1">
        <v>4</v>
      </c>
      <c r="H9" s="1">
        <v>47337</v>
      </c>
      <c r="I9" s="1">
        <v>214624</v>
      </c>
      <c r="J9" s="1">
        <v>89.548374499950995</v>
      </c>
      <c r="K9" s="1">
        <v>129.79638671875</v>
      </c>
      <c r="L9" s="1">
        <v>21.265195474811001</v>
      </c>
      <c r="M9" s="1">
        <v>3.6111374433198802</v>
      </c>
      <c r="N9" s="10">
        <v>4.6114201147597704</v>
      </c>
      <c r="O9" s="1">
        <v>0.362432476329963</v>
      </c>
      <c r="P9" s="1">
        <v>18.918077274722101</v>
      </c>
      <c r="Q9" s="1">
        <v>3.1276131143589301</v>
      </c>
      <c r="R9" s="10">
        <v>4.34949161106469</v>
      </c>
      <c r="S9" s="1">
        <v>0.72291098954880995</v>
      </c>
      <c r="T9" s="1">
        <v>-2.6187215419512602E-2</v>
      </c>
      <c r="U9" s="1">
        <v>-5.82222947266295E-2</v>
      </c>
    </row>
    <row r="10" spans="1:21" x14ac:dyDescent="0.4">
      <c r="A10" s="1" t="s">
        <v>132</v>
      </c>
      <c r="B10" s="1" t="s">
        <v>36</v>
      </c>
      <c r="C10" s="1" t="s">
        <v>119</v>
      </c>
      <c r="D10" s="1" t="s">
        <v>120</v>
      </c>
      <c r="E10" s="1" t="s">
        <v>121</v>
      </c>
      <c r="F10" s="1">
        <v>336</v>
      </c>
      <c r="G10" s="1">
        <v>2</v>
      </c>
      <c r="H10" s="1">
        <v>47337</v>
      </c>
      <c r="I10" s="1">
        <v>214624</v>
      </c>
      <c r="J10" s="1">
        <v>102.34131519997</v>
      </c>
      <c r="K10" s="1">
        <v>211.67919921875</v>
      </c>
      <c r="L10" s="1">
        <v>21.810679372644898</v>
      </c>
      <c r="M10" s="1">
        <v>3.7240559138889502</v>
      </c>
      <c r="N10" s="10">
        <v>4.6701905071040599</v>
      </c>
      <c r="O10" s="1">
        <v>0.34607792090836897</v>
      </c>
      <c r="P10" s="1">
        <v>19.0608381541429</v>
      </c>
      <c r="Q10" s="1">
        <v>3.2354222960530801</v>
      </c>
      <c r="R10" s="10">
        <v>4.3658719809613</v>
      </c>
      <c r="S10" s="1">
        <v>0.72082000164156201</v>
      </c>
      <c r="T10" s="1">
        <v>3.2583176924779501E-2</v>
      </c>
      <c r="U10" s="1">
        <v>-4.1841924830025599E-2</v>
      </c>
    </row>
    <row r="11" spans="1:21" x14ac:dyDescent="0.4">
      <c r="A11" s="1" t="s">
        <v>133</v>
      </c>
      <c r="B11" s="1" t="s">
        <v>36</v>
      </c>
      <c r="C11" s="1" t="s">
        <v>119</v>
      </c>
      <c r="D11" s="1" t="s">
        <v>120</v>
      </c>
      <c r="E11" s="1" t="s">
        <v>121</v>
      </c>
      <c r="F11" s="1">
        <v>672</v>
      </c>
      <c r="G11" s="1">
        <v>2</v>
      </c>
      <c r="H11" s="1">
        <v>47337</v>
      </c>
      <c r="I11" s="1">
        <v>214624</v>
      </c>
      <c r="J11" s="1">
        <v>170.14506910002001</v>
      </c>
      <c r="K11" s="1">
        <v>402.67138671875</v>
      </c>
      <c r="L11" s="1">
        <v>21.507401748932601</v>
      </c>
      <c r="M11" s="1">
        <v>3.7044153209686099</v>
      </c>
      <c r="N11" s="10">
        <v>4.6376073301792804</v>
      </c>
      <c r="O11" s="1">
        <v>0.35517071122688798</v>
      </c>
      <c r="P11" s="1">
        <v>19.4279418753062</v>
      </c>
      <c r="Q11" s="1">
        <v>3.3054881813907602</v>
      </c>
      <c r="R11" s="10">
        <v>4.4077139057913204</v>
      </c>
      <c r="S11" s="1">
        <v>0.71544311236508096</v>
      </c>
      <c r="T11" s="1">
        <v>0</v>
      </c>
      <c r="U11" s="1">
        <v>0</v>
      </c>
    </row>
    <row r="12" spans="1:21" x14ac:dyDescent="0.4">
      <c r="A12" s="1" t="s">
        <v>134</v>
      </c>
      <c r="B12" s="1" t="s">
        <v>36</v>
      </c>
      <c r="C12" s="1" t="s">
        <v>119</v>
      </c>
      <c r="D12" s="1" t="s">
        <v>120</v>
      </c>
      <c r="E12" s="1" t="s">
        <v>121</v>
      </c>
      <c r="F12" s="1">
        <v>1344</v>
      </c>
      <c r="G12" s="1">
        <v>7</v>
      </c>
      <c r="H12" s="1">
        <v>47337</v>
      </c>
      <c r="I12" s="1">
        <v>214624</v>
      </c>
      <c r="J12" s="1">
        <v>528.00124020001294</v>
      </c>
      <c r="K12" s="1">
        <v>783.3427734375</v>
      </c>
      <c r="L12" s="1">
        <v>20.5009671707904</v>
      </c>
      <c r="M12" s="1">
        <v>3.4873244323146402</v>
      </c>
      <c r="N12" s="10">
        <v>4.5277993739553404</v>
      </c>
      <c r="O12" s="1">
        <v>0.38534536927233798</v>
      </c>
      <c r="P12" s="1">
        <v>23.954126789783999</v>
      </c>
      <c r="Q12" s="1">
        <v>3.4714317431564301</v>
      </c>
      <c r="R12" s="10">
        <v>4.8942953312794604</v>
      </c>
      <c r="S12" s="1">
        <v>0.64914905505369003</v>
      </c>
      <c r="T12" s="1">
        <v>-0.109807956223945</v>
      </c>
      <c r="U12" s="1">
        <v>0.48658142548814298</v>
      </c>
    </row>
    <row r="13" spans="1:21" x14ac:dyDescent="0.4">
      <c r="A13" s="11" t="s">
        <v>135</v>
      </c>
      <c r="B13" s="11" t="s">
        <v>36</v>
      </c>
      <c r="C13" s="11" t="s">
        <v>127</v>
      </c>
      <c r="D13" s="11" t="s">
        <v>128</v>
      </c>
      <c r="E13" s="11" t="s">
        <v>129</v>
      </c>
      <c r="F13" s="11">
        <v>672</v>
      </c>
      <c r="G13" s="11">
        <v>6</v>
      </c>
      <c r="H13" s="11">
        <v>47337</v>
      </c>
      <c r="I13" s="11">
        <v>211552</v>
      </c>
      <c r="J13" s="11">
        <v>254.59644330001899</v>
      </c>
      <c r="K13" s="11">
        <v>400.65576171875</v>
      </c>
      <c r="L13" s="11">
        <v>9.7014791810619307</v>
      </c>
      <c r="M13" s="11">
        <v>2.3513063629628799</v>
      </c>
      <c r="N13" s="12">
        <v>3.1147197596351899</v>
      </c>
      <c r="O13" s="11">
        <v>0.709132790961987</v>
      </c>
      <c r="P13" s="11">
        <v>16.119202540782201</v>
      </c>
      <c r="Q13" s="11">
        <v>2.7854562193329002</v>
      </c>
      <c r="R13" s="12">
        <v>4.0148726680658502</v>
      </c>
      <c r="S13" s="11">
        <v>0.76390550601801399</v>
      </c>
      <c r="T13" s="11">
        <v>-1.5228875705440901</v>
      </c>
      <c r="U13" s="11">
        <v>-0.39284123772547502</v>
      </c>
    </row>
    <row r="14" spans="1:21" x14ac:dyDescent="0.4">
      <c r="A14" s="1" t="s">
        <v>136</v>
      </c>
      <c r="B14" s="1" t="s">
        <v>61</v>
      </c>
      <c r="C14" s="1" t="s">
        <v>119</v>
      </c>
      <c r="D14" s="1" t="s">
        <v>120</v>
      </c>
      <c r="E14" s="1" t="s">
        <v>121</v>
      </c>
      <c r="F14" s="1">
        <v>96</v>
      </c>
      <c r="G14" s="1">
        <v>1</v>
      </c>
      <c r="H14" s="1">
        <v>47337</v>
      </c>
      <c r="I14" s="1">
        <v>164064</v>
      </c>
      <c r="J14" s="1">
        <v>48.676961599965502</v>
      </c>
      <c r="K14" s="1">
        <v>74.0302734375</v>
      </c>
      <c r="L14" s="1">
        <v>14.1794467236338</v>
      </c>
      <c r="M14" s="1">
        <v>2.8216483001333401</v>
      </c>
      <c r="N14" s="10">
        <v>3.76556061213119</v>
      </c>
      <c r="O14" s="1">
        <v>0.57487554039619004</v>
      </c>
      <c r="P14" s="1">
        <v>18.618138222911998</v>
      </c>
      <c r="Q14" s="1">
        <v>3.09377298503364</v>
      </c>
      <c r="R14" s="10">
        <v>4.3148740680247002</v>
      </c>
      <c r="S14" s="1">
        <v>0.72730413235369595</v>
      </c>
      <c r="T14" s="1">
        <v>0.40605787904241702</v>
      </c>
      <c r="U14" s="1">
        <v>-2.0828260419570199E-2</v>
      </c>
    </row>
    <row r="15" spans="1:21" x14ac:dyDescent="0.4">
      <c r="A15" s="1" t="s">
        <v>137</v>
      </c>
      <c r="B15" s="1" t="s">
        <v>61</v>
      </c>
      <c r="C15" s="1" t="s">
        <v>119</v>
      </c>
      <c r="D15" s="1" t="s">
        <v>120</v>
      </c>
      <c r="E15" s="1" t="s">
        <v>121</v>
      </c>
      <c r="F15" s="1">
        <v>192</v>
      </c>
      <c r="G15" s="1">
        <v>1</v>
      </c>
      <c r="H15" s="1">
        <v>47337</v>
      </c>
      <c r="I15" s="1">
        <v>164064</v>
      </c>
      <c r="J15" s="1">
        <v>53.018423100002103</v>
      </c>
      <c r="K15" s="1">
        <v>126.80029296875</v>
      </c>
      <c r="L15" s="1">
        <v>13.844097245827999</v>
      </c>
      <c r="M15" s="1">
        <v>2.7977667645396198</v>
      </c>
      <c r="N15" s="10">
        <v>3.7207656800486699</v>
      </c>
      <c r="O15" s="1">
        <v>0.584929900647988</v>
      </c>
      <c r="P15" s="1">
        <v>18.358497547793899</v>
      </c>
      <c r="Q15" s="1">
        <v>3.00834681363756</v>
      </c>
      <c r="R15" s="10">
        <v>4.2846817323803501</v>
      </c>
      <c r="S15" s="1">
        <v>0.73110703349933803</v>
      </c>
      <c r="T15" s="1">
        <v>0.36126294695989802</v>
      </c>
      <c r="U15" s="1">
        <v>-5.1020596063922903E-2</v>
      </c>
    </row>
    <row r="16" spans="1:21" x14ac:dyDescent="0.4">
      <c r="A16" s="1" t="s">
        <v>138</v>
      </c>
      <c r="B16" s="1" t="s">
        <v>61</v>
      </c>
      <c r="C16" s="1" t="s">
        <v>119</v>
      </c>
      <c r="D16" s="1" t="s">
        <v>120</v>
      </c>
      <c r="E16" s="1" t="s">
        <v>121</v>
      </c>
      <c r="F16" s="1">
        <v>336</v>
      </c>
      <c r="G16" s="1">
        <v>1</v>
      </c>
      <c r="H16" s="1">
        <v>47337</v>
      </c>
      <c r="I16" s="1">
        <v>164064</v>
      </c>
      <c r="J16" s="1">
        <v>59.825220200000302</v>
      </c>
      <c r="K16" s="1">
        <v>205.79052734375</v>
      </c>
      <c r="L16" s="1">
        <v>13.4198079185542</v>
      </c>
      <c r="M16" s="1">
        <v>2.74501849897245</v>
      </c>
      <c r="N16" s="10">
        <v>3.6633055999403399</v>
      </c>
      <c r="O16" s="1">
        <v>0.59765083218280601</v>
      </c>
      <c r="P16" s="1">
        <v>19.4983786001124</v>
      </c>
      <c r="Q16" s="1">
        <v>3.0895637681041301</v>
      </c>
      <c r="R16" s="10">
        <v>4.4156968419619096</v>
      </c>
      <c r="S16" s="1">
        <v>0.71441144080075902</v>
      </c>
      <c r="T16" s="1">
        <v>0.30380286685156499</v>
      </c>
      <c r="U16" s="1">
        <v>7.9994513517637394E-2</v>
      </c>
    </row>
    <row r="17" spans="1:21" x14ac:dyDescent="0.4">
      <c r="A17" s="1" t="s">
        <v>139</v>
      </c>
      <c r="B17" s="1" t="s">
        <v>61</v>
      </c>
      <c r="C17" s="1" t="s">
        <v>119</v>
      </c>
      <c r="D17" s="1" t="s">
        <v>120</v>
      </c>
      <c r="E17" s="1" t="s">
        <v>121</v>
      </c>
      <c r="F17" s="1">
        <v>672</v>
      </c>
      <c r="G17" s="1">
        <v>1</v>
      </c>
      <c r="H17" s="1">
        <v>47337</v>
      </c>
      <c r="I17" s="1">
        <v>164064</v>
      </c>
      <c r="J17" s="1">
        <v>99.985476100002401</v>
      </c>
      <c r="K17" s="1">
        <v>390.81982421875</v>
      </c>
      <c r="L17" s="1">
        <v>11.286258613630901</v>
      </c>
      <c r="M17" s="1">
        <v>2.51161440757829</v>
      </c>
      <c r="N17" s="10">
        <v>3.3595027330887701</v>
      </c>
      <c r="O17" s="1">
        <v>0.66161834889710802</v>
      </c>
      <c r="P17" s="1">
        <v>18.798314680877098</v>
      </c>
      <c r="Q17" s="1">
        <v>3.0511197706065998</v>
      </c>
      <c r="R17" s="10">
        <v>4.3357023284442704</v>
      </c>
      <c r="S17" s="1">
        <v>0.72466512651186898</v>
      </c>
      <c r="T17" s="1">
        <v>0</v>
      </c>
      <c r="U17" s="1">
        <v>0</v>
      </c>
    </row>
    <row r="18" spans="1:21" x14ac:dyDescent="0.4">
      <c r="A18" s="1" t="s">
        <v>140</v>
      </c>
      <c r="B18" s="1" t="s">
        <v>61</v>
      </c>
      <c r="C18" s="1" t="s">
        <v>119</v>
      </c>
      <c r="D18" s="1" t="s">
        <v>120</v>
      </c>
      <c r="E18" s="1" t="s">
        <v>121</v>
      </c>
      <c r="F18" s="1">
        <v>1344</v>
      </c>
      <c r="G18" s="1">
        <v>1</v>
      </c>
      <c r="H18" s="1">
        <v>47337</v>
      </c>
      <c r="I18" s="1">
        <v>164064</v>
      </c>
      <c r="J18" s="1">
        <v>175.844753699959</v>
      </c>
      <c r="K18" s="1">
        <v>762.8623046875</v>
      </c>
      <c r="L18" s="1">
        <v>12.2621187404817</v>
      </c>
      <c r="M18" s="1">
        <v>2.64596121884765</v>
      </c>
      <c r="N18" s="10">
        <v>3.5017308206773499</v>
      </c>
      <c r="O18" s="1">
        <v>0.63236036604613699</v>
      </c>
      <c r="P18" s="1">
        <v>17.009316222889499</v>
      </c>
      <c r="Q18" s="1">
        <v>2.9033322689385601</v>
      </c>
      <c r="R18" s="10">
        <v>4.1242352288502602</v>
      </c>
      <c r="S18" s="1">
        <v>0.75086820229086604</v>
      </c>
      <c r="T18" s="1">
        <v>0.14222808758858299</v>
      </c>
      <c r="U18" s="1">
        <v>-0.211467099594014</v>
      </c>
    </row>
    <row r="19" spans="1:21" x14ac:dyDescent="0.4">
      <c r="A19" s="11" t="s">
        <v>141</v>
      </c>
      <c r="B19" s="11" t="s">
        <v>61</v>
      </c>
      <c r="C19" s="11" t="s">
        <v>127</v>
      </c>
      <c r="D19" s="11" t="s">
        <v>128</v>
      </c>
      <c r="E19" s="11" t="s">
        <v>129</v>
      </c>
      <c r="F19" s="11">
        <v>672</v>
      </c>
      <c r="G19" s="11">
        <v>2</v>
      </c>
      <c r="H19" s="11">
        <v>47337</v>
      </c>
      <c r="I19" s="11">
        <v>161760</v>
      </c>
      <c r="J19" s="11">
        <v>106.011177300009</v>
      </c>
      <c r="K19" s="11">
        <v>388.32373046875</v>
      </c>
      <c r="L19" s="11">
        <v>9.54575141686073</v>
      </c>
      <c r="M19" s="11">
        <v>2.26412682303507</v>
      </c>
      <c r="N19" s="12">
        <v>3.0896199469935999</v>
      </c>
      <c r="O19" s="11">
        <v>0.71380178002000205</v>
      </c>
      <c r="P19" s="11">
        <v>17.224004440691001</v>
      </c>
      <c r="Q19" s="11">
        <v>2.8901302721336801</v>
      </c>
      <c r="R19" s="12">
        <v>4.15018125395639</v>
      </c>
      <c r="S19" s="11">
        <v>0.74772371012275196</v>
      </c>
      <c r="T19" s="11">
        <v>-0.26988278609517602</v>
      </c>
      <c r="U19" s="11">
        <v>-0.18552107448788299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9198-BCCE-4537-994A-DED93A405538}">
  <dimension ref="A1:S16"/>
  <sheetViews>
    <sheetView topLeftCell="F1" workbookViewId="0">
      <selection activeCell="A13" sqref="A13:S16"/>
    </sheetView>
  </sheetViews>
  <sheetFormatPr defaultRowHeight="17.399999999999999" x14ac:dyDescent="0.4"/>
  <cols>
    <col min="1" max="1" width="20.19921875" bestFit="1" customWidth="1"/>
    <col min="2" max="2" width="6.796875" bestFit="1" customWidth="1"/>
    <col min="3" max="3" width="6.09765625" bestFit="1" customWidth="1"/>
    <col min="4" max="4" width="10.8984375" bestFit="1" customWidth="1"/>
    <col min="5" max="5" width="25" bestFit="1" customWidth="1"/>
    <col min="6" max="6" width="7.69921875" bestFit="1" customWidth="1"/>
    <col min="7" max="7" width="11.09765625" bestFit="1" customWidth="1"/>
    <col min="8" max="8" width="13.8984375" bestFit="1" customWidth="1"/>
    <col min="9" max="9" width="11.19921875" bestFit="1" customWidth="1"/>
    <col min="10" max="10" width="13.296875" bestFit="1" customWidth="1"/>
    <col min="11" max="11" width="14.69921875" bestFit="1" customWidth="1"/>
    <col min="12" max="19" width="12.59765625" bestFit="1" customWidth="1"/>
  </cols>
  <sheetData>
    <row r="1" spans="1:19" x14ac:dyDescent="0.4">
      <c r="A1" s="4" t="s">
        <v>0</v>
      </c>
      <c r="B1" s="4" t="s">
        <v>1</v>
      </c>
      <c r="C1" s="4" t="s">
        <v>102</v>
      </c>
      <c r="D1" s="4" t="s">
        <v>103</v>
      </c>
      <c r="E1" s="4" t="s">
        <v>104</v>
      </c>
      <c r="F1" s="4" t="s">
        <v>105</v>
      </c>
      <c r="G1" s="4" t="s">
        <v>7</v>
      </c>
      <c r="H1" s="4" t="s">
        <v>106</v>
      </c>
      <c r="I1" s="4" t="s">
        <v>9</v>
      </c>
      <c r="J1" s="4" t="s">
        <v>8</v>
      </c>
      <c r="K1" s="4" t="s">
        <v>107</v>
      </c>
      <c r="L1" s="4" t="s">
        <v>108</v>
      </c>
      <c r="M1" s="4" t="s">
        <v>109</v>
      </c>
      <c r="N1" s="4" t="s">
        <v>110</v>
      </c>
      <c r="O1" s="4" t="s">
        <v>111</v>
      </c>
      <c r="P1" s="4" t="s">
        <v>112</v>
      </c>
      <c r="Q1" s="4" t="s">
        <v>113</v>
      </c>
      <c r="R1" s="4" t="s">
        <v>114</v>
      </c>
      <c r="S1" s="4" t="s">
        <v>115</v>
      </c>
    </row>
    <row r="2" spans="1:19" x14ac:dyDescent="0.4">
      <c r="A2" s="1" t="s">
        <v>126</v>
      </c>
      <c r="B2" s="1" t="s">
        <v>11</v>
      </c>
      <c r="C2" s="1" t="s">
        <v>127</v>
      </c>
      <c r="D2" s="1" t="s">
        <v>128</v>
      </c>
      <c r="E2" s="1" t="s">
        <v>129</v>
      </c>
      <c r="F2" s="1">
        <v>672</v>
      </c>
      <c r="G2" s="1">
        <v>9</v>
      </c>
      <c r="H2" s="1">
        <v>47337</v>
      </c>
      <c r="I2" s="1">
        <v>18848</v>
      </c>
      <c r="J2" s="1">
        <v>110.530977699963</v>
      </c>
      <c r="K2" s="1">
        <v>123.9462890625</v>
      </c>
      <c r="L2" s="1">
        <v>10.6793964550775</v>
      </c>
      <c r="M2" s="1">
        <v>2.4860693545566899</v>
      </c>
      <c r="N2" s="18">
        <v>3.2679345854954698</v>
      </c>
      <c r="O2" s="1">
        <v>0.67981313126326504</v>
      </c>
      <c r="P2" s="1">
        <v>16.269105924584501</v>
      </c>
      <c r="Q2" s="1">
        <v>2.9000837097519598</v>
      </c>
      <c r="R2" s="15">
        <v>4.0334979762712697</v>
      </c>
      <c r="S2" s="1">
        <v>0.76170990338472899</v>
      </c>
    </row>
    <row r="3" spans="1:19" x14ac:dyDescent="0.4">
      <c r="A3" s="1" t="s">
        <v>142</v>
      </c>
      <c r="B3" s="1" t="s">
        <v>11</v>
      </c>
      <c r="C3" s="1" t="s">
        <v>127</v>
      </c>
      <c r="D3" s="1" t="s">
        <v>143</v>
      </c>
      <c r="E3" s="1" t="s">
        <v>144</v>
      </c>
      <c r="F3" s="1">
        <v>672</v>
      </c>
      <c r="G3" s="1">
        <v>10</v>
      </c>
      <c r="H3" s="1">
        <v>47337</v>
      </c>
      <c r="I3" s="1">
        <v>19040</v>
      </c>
      <c r="J3" s="1">
        <v>129.78714960004399</v>
      </c>
      <c r="K3" s="1">
        <v>124.984375</v>
      </c>
      <c r="L3" s="1">
        <v>14.823832751345501</v>
      </c>
      <c r="M3" s="1">
        <v>2.9991391941730701</v>
      </c>
      <c r="N3" s="10">
        <v>3.8501730806998098</v>
      </c>
      <c r="O3" s="1">
        <v>0.55555572720837598</v>
      </c>
      <c r="P3" s="1">
        <v>17.683390282596299</v>
      </c>
      <c r="Q3" s="1">
        <v>3.0332394255474902</v>
      </c>
      <c r="R3" s="16">
        <v>4.2051623372464801</v>
      </c>
      <c r="S3" s="1">
        <v>0.74099518446444401</v>
      </c>
    </row>
    <row r="4" spans="1:19" x14ac:dyDescent="0.4">
      <c r="A4" s="1" t="s">
        <v>145</v>
      </c>
      <c r="B4" s="1" t="s">
        <v>11</v>
      </c>
      <c r="C4" s="1" t="s">
        <v>127</v>
      </c>
      <c r="D4" s="1" t="s">
        <v>146</v>
      </c>
      <c r="E4" s="1" t="s">
        <v>147</v>
      </c>
      <c r="F4" s="1">
        <v>672</v>
      </c>
      <c r="G4" s="1">
        <v>6</v>
      </c>
      <c r="H4" s="1">
        <v>47337</v>
      </c>
      <c r="I4" s="1">
        <v>18976</v>
      </c>
      <c r="J4" s="1">
        <v>100.733329699956</v>
      </c>
      <c r="K4" s="1">
        <v>124.57421875</v>
      </c>
      <c r="L4" s="1">
        <v>14.2988202548239</v>
      </c>
      <c r="M4" s="1">
        <v>2.9156080372856898</v>
      </c>
      <c r="N4" s="10">
        <v>3.78137808937745</v>
      </c>
      <c r="O4" s="1">
        <v>0.57129651443507101</v>
      </c>
      <c r="P4" s="1">
        <v>18.098158857937399</v>
      </c>
      <c r="Q4" s="1">
        <v>3.1284461757311601</v>
      </c>
      <c r="R4" s="16">
        <v>4.2541930912850399</v>
      </c>
      <c r="S4" s="1">
        <v>0.73492015831677804</v>
      </c>
    </row>
    <row r="5" spans="1:19" x14ac:dyDescent="0.4">
      <c r="A5" s="1" t="s">
        <v>148</v>
      </c>
      <c r="B5" s="1" t="s">
        <v>11</v>
      </c>
      <c r="C5" s="1" t="s">
        <v>127</v>
      </c>
      <c r="D5" s="1" t="s">
        <v>149</v>
      </c>
      <c r="E5" s="1" t="s">
        <v>150</v>
      </c>
      <c r="F5" s="1">
        <v>672</v>
      </c>
      <c r="G5" s="1">
        <v>4</v>
      </c>
      <c r="H5" s="1">
        <v>47337</v>
      </c>
      <c r="I5" s="1">
        <v>19104</v>
      </c>
      <c r="J5" s="1">
        <v>82.251333499967501</v>
      </c>
      <c r="K5" s="1">
        <v>125.396484375</v>
      </c>
      <c r="L5" s="1">
        <v>17.155264024570801</v>
      </c>
      <c r="M5" s="1">
        <v>3.2544294380437302</v>
      </c>
      <c r="N5" s="10">
        <v>4.1418913583737096</v>
      </c>
      <c r="O5" s="1">
        <v>0.48565536512433599</v>
      </c>
      <c r="P5" s="1">
        <v>18.6180423005666</v>
      </c>
      <c r="Q5" s="1">
        <v>3.2301290457145</v>
      </c>
      <c r="R5" s="16">
        <v>4.3148629526981104</v>
      </c>
      <c r="S5" s="1">
        <v>0.727305537307667</v>
      </c>
    </row>
    <row r="6" spans="1:19" s="13" customFormat="1" x14ac:dyDescent="0.4">
      <c r="A6" s="11" t="s">
        <v>151</v>
      </c>
      <c r="B6" s="11" t="s">
        <v>11</v>
      </c>
      <c r="C6" s="11" t="s">
        <v>127</v>
      </c>
      <c r="D6" s="11" t="s">
        <v>152</v>
      </c>
      <c r="E6" s="11" t="s">
        <v>153</v>
      </c>
      <c r="F6" s="11">
        <v>672</v>
      </c>
      <c r="G6" s="11">
        <v>6</v>
      </c>
      <c r="H6" s="11">
        <v>47337</v>
      </c>
      <c r="I6" s="11">
        <v>18976</v>
      </c>
      <c r="J6" s="11">
        <v>98.9367167000309</v>
      </c>
      <c r="K6" s="11">
        <v>124.57421875</v>
      </c>
      <c r="L6" s="11">
        <v>14.4563450639497</v>
      </c>
      <c r="M6" s="11">
        <v>2.8763291791385499</v>
      </c>
      <c r="N6" s="14">
        <v>3.8021500580526402</v>
      </c>
      <c r="O6" s="11">
        <v>0.56657364684657896</v>
      </c>
      <c r="P6" s="11">
        <v>15.496654474486601</v>
      </c>
      <c r="Q6" s="11">
        <v>2.8319714700106702</v>
      </c>
      <c r="R6" s="17">
        <v>3.9365790319116698</v>
      </c>
      <c r="S6" s="11">
        <v>0.77302383369704397</v>
      </c>
    </row>
    <row r="7" spans="1:19" x14ac:dyDescent="0.4">
      <c r="A7" s="1" t="s">
        <v>135</v>
      </c>
      <c r="B7" s="1" t="s">
        <v>36</v>
      </c>
      <c r="C7" s="1" t="s">
        <v>127</v>
      </c>
      <c r="D7" s="1" t="s">
        <v>128</v>
      </c>
      <c r="E7" s="1" t="s">
        <v>129</v>
      </c>
      <c r="F7" s="1">
        <v>672</v>
      </c>
      <c r="G7" s="1">
        <v>6</v>
      </c>
      <c r="H7" s="1">
        <v>47337</v>
      </c>
      <c r="I7" s="1">
        <v>211552</v>
      </c>
      <c r="J7" s="1">
        <v>254.857924799958</v>
      </c>
      <c r="K7" s="1">
        <v>399.8271484375</v>
      </c>
      <c r="L7" s="1">
        <v>9.7014791810619307</v>
      </c>
      <c r="M7" s="1">
        <v>2.3513063629628799</v>
      </c>
      <c r="N7" s="18">
        <v>3.1147197596351899</v>
      </c>
      <c r="O7" s="1">
        <v>0.709132790961987</v>
      </c>
      <c r="P7" s="1">
        <v>16.119202540782201</v>
      </c>
      <c r="Q7" s="1">
        <v>2.7854562193329002</v>
      </c>
      <c r="R7" s="15">
        <v>4.0148726680658502</v>
      </c>
      <c r="S7" s="1">
        <v>0.76390550601801399</v>
      </c>
    </row>
    <row r="8" spans="1:19" x14ac:dyDescent="0.4">
      <c r="A8" s="1" t="s">
        <v>154</v>
      </c>
      <c r="B8" s="1" t="s">
        <v>36</v>
      </c>
      <c r="C8" s="1" t="s">
        <v>127</v>
      </c>
      <c r="D8" s="1" t="s">
        <v>143</v>
      </c>
      <c r="E8" s="1" t="s">
        <v>144</v>
      </c>
      <c r="F8" s="1">
        <v>672</v>
      </c>
      <c r="G8" s="1">
        <v>5</v>
      </c>
      <c r="H8" s="1">
        <v>47337</v>
      </c>
      <c r="I8" s="1">
        <v>213088</v>
      </c>
      <c r="J8" s="1">
        <v>239.593661900027</v>
      </c>
      <c r="K8" s="1">
        <v>400.8349609375</v>
      </c>
      <c r="L8" s="1">
        <v>15.3909256499094</v>
      </c>
      <c r="M8" s="1">
        <v>3.0275450465017699</v>
      </c>
      <c r="N8" s="10">
        <v>3.92312702444229</v>
      </c>
      <c r="O8" s="1">
        <v>0.53855329638395399</v>
      </c>
      <c r="P8" s="1">
        <v>19.9537011748202</v>
      </c>
      <c r="Q8" s="1">
        <v>3.3003101420748799</v>
      </c>
      <c r="R8" s="16">
        <v>4.4669565897622299</v>
      </c>
      <c r="S8" s="1">
        <v>0.70774242894348904</v>
      </c>
    </row>
    <row r="9" spans="1:19" x14ac:dyDescent="0.4">
      <c r="A9" s="1" t="s">
        <v>155</v>
      </c>
      <c r="B9" s="1" t="s">
        <v>36</v>
      </c>
      <c r="C9" s="1" t="s">
        <v>127</v>
      </c>
      <c r="D9" s="1" t="s">
        <v>146</v>
      </c>
      <c r="E9" s="1" t="s">
        <v>147</v>
      </c>
      <c r="F9" s="1">
        <v>672</v>
      </c>
      <c r="G9" s="1">
        <v>4</v>
      </c>
      <c r="H9" s="1">
        <v>47337</v>
      </c>
      <c r="I9" s="1">
        <v>212576</v>
      </c>
      <c r="J9" s="1">
        <v>218.636803700006</v>
      </c>
      <c r="K9" s="1">
        <v>400.4990234375</v>
      </c>
      <c r="L9" s="1">
        <v>13.856197847939301</v>
      </c>
      <c r="M9" s="1">
        <v>2.85365795364695</v>
      </c>
      <c r="N9" s="10">
        <v>3.72239141519794</v>
      </c>
      <c r="O9" s="1">
        <v>0.58456710356332697</v>
      </c>
      <c r="P9" s="1">
        <v>16.983414358208599</v>
      </c>
      <c r="Q9" s="1">
        <v>2.9258331294647602</v>
      </c>
      <c r="R9" s="16">
        <v>4.1210938303087303</v>
      </c>
      <c r="S9" s="1">
        <v>0.75124758133393998</v>
      </c>
    </row>
    <row r="10" spans="1:19" x14ac:dyDescent="0.4">
      <c r="A10" s="1" t="s">
        <v>156</v>
      </c>
      <c r="B10" s="1" t="s">
        <v>36</v>
      </c>
      <c r="C10" s="1" t="s">
        <v>127</v>
      </c>
      <c r="D10" s="1" t="s">
        <v>149</v>
      </c>
      <c r="E10" s="1" t="s">
        <v>150</v>
      </c>
      <c r="F10" s="1">
        <v>672</v>
      </c>
      <c r="G10" s="1">
        <v>8</v>
      </c>
      <c r="H10" s="1">
        <v>47337</v>
      </c>
      <c r="I10" s="1">
        <v>213600</v>
      </c>
      <c r="J10" s="1">
        <v>315.34800240001601</v>
      </c>
      <c r="K10" s="1">
        <v>401.1708984375</v>
      </c>
      <c r="L10" s="1">
        <v>18.679936133334799</v>
      </c>
      <c r="M10" s="1">
        <v>3.2602060909706299</v>
      </c>
      <c r="N10" s="10">
        <v>4.3220291684965302</v>
      </c>
      <c r="O10" s="1">
        <v>0.43994304510616999</v>
      </c>
      <c r="P10" s="1">
        <v>23.397358751169101</v>
      </c>
      <c r="Q10" s="1">
        <v>3.3388827345597001</v>
      </c>
      <c r="R10" s="16">
        <v>4.8370816357767898</v>
      </c>
      <c r="S10" s="1">
        <v>0.65730391681000599</v>
      </c>
    </row>
    <row r="11" spans="1:19" s="13" customFormat="1" x14ac:dyDescent="0.4">
      <c r="A11" s="11" t="s">
        <v>157</v>
      </c>
      <c r="B11" s="11" t="s">
        <v>36</v>
      </c>
      <c r="C11" s="11" t="s">
        <v>127</v>
      </c>
      <c r="D11" s="11" t="s">
        <v>152</v>
      </c>
      <c r="E11" s="11" t="s">
        <v>153</v>
      </c>
      <c r="F11" s="11">
        <v>672</v>
      </c>
      <c r="G11" s="11">
        <v>4</v>
      </c>
      <c r="H11" s="11">
        <v>47337</v>
      </c>
      <c r="I11" s="11">
        <v>212576</v>
      </c>
      <c r="J11" s="11">
        <v>218.88808230002101</v>
      </c>
      <c r="K11" s="11">
        <v>400.4990234375</v>
      </c>
      <c r="L11" s="11">
        <v>18.325058771620601</v>
      </c>
      <c r="M11" s="11">
        <v>3.2896750789308999</v>
      </c>
      <c r="N11" s="14">
        <v>4.2807778232022997</v>
      </c>
      <c r="O11" s="11">
        <v>0.45058288526106799</v>
      </c>
      <c r="P11" s="11">
        <v>17.097088986368298</v>
      </c>
      <c r="Q11" s="11">
        <v>2.9986936031745999</v>
      </c>
      <c r="R11" s="17">
        <v>4.1348626321037996</v>
      </c>
      <c r="S11" s="11">
        <v>0.74958261349536004</v>
      </c>
    </row>
    <row r="12" spans="1:19" x14ac:dyDescent="0.4">
      <c r="A12" s="1" t="s">
        <v>141</v>
      </c>
      <c r="B12" s="1" t="s">
        <v>61</v>
      </c>
      <c r="C12" s="1" t="s">
        <v>127</v>
      </c>
      <c r="D12" s="1" t="s">
        <v>128</v>
      </c>
      <c r="E12" s="1" t="s">
        <v>129</v>
      </c>
      <c r="F12" s="1">
        <v>672</v>
      </c>
      <c r="G12" s="1">
        <v>2</v>
      </c>
      <c r="H12" s="1">
        <v>47337</v>
      </c>
      <c r="I12" s="1">
        <v>161760</v>
      </c>
      <c r="J12" s="1">
        <v>108.5209684</v>
      </c>
      <c r="K12" s="1">
        <v>388.32373046875</v>
      </c>
      <c r="L12" s="1">
        <v>9.54575141686073</v>
      </c>
      <c r="M12" s="1">
        <v>2.26412682303507</v>
      </c>
      <c r="N12" s="18">
        <v>3.0896199469935999</v>
      </c>
      <c r="O12" s="1">
        <v>0.71380178002000205</v>
      </c>
      <c r="P12" s="1">
        <v>17.224004440691001</v>
      </c>
      <c r="Q12" s="1">
        <v>2.8901302721336801</v>
      </c>
      <c r="R12" s="16">
        <v>4.15018125395639</v>
      </c>
      <c r="S12" s="1">
        <v>0.74772371012275196</v>
      </c>
    </row>
    <row r="13" spans="1:19" x14ac:dyDescent="0.4">
      <c r="A13" s="1" t="s">
        <v>158</v>
      </c>
      <c r="B13" s="1" t="s">
        <v>61</v>
      </c>
      <c r="C13" s="1" t="s">
        <v>127</v>
      </c>
      <c r="D13" s="1" t="s">
        <v>143</v>
      </c>
      <c r="E13" s="1" t="s">
        <v>144</v>
      </c>
      <c r="F13" s="1">
        <v>672</v>
      </c>
      <c r="G13" s="1">
        <v>1</v>
      </c>
      <c r="H13" s="1">
        <v>47337</v>
      </c>
      <c r="I13" s="1">
        <v>162912</v>
      </c>
      <c r="J13" s="1">
        <v>97.095624300010897</v>
      </c>
      <c r="K13" s="1">
        <v>389.57177734375</v>
      </c>
      <c r="L13" s="1">
        <v>11.688142728069799</v>
      </c>
      <c r="M13" s="1">
        <v>2.6053591351046599</v>
      </c>
      <c r="N13" s="10">
        <v>3.4187925833647501</v>
      </c>
      <c r="O13" s="1">
        <v>0.64956916458800396</v>
      </c>
      <c r="P13" s="1">
        <v>16.246849119539899</v>
      </c>
      <c r="Q13" s="1">
        <v>2.88411359414471</v>
      </c>
      <c r="R13" s="15">
        <v>4.0307380365808898</v>
      </c>
      <c r="S13" s="1">
        <v>0.76203589402299698</v>
      </c>
    </row>
    <row r="14" spans="1:19" x14ac:dyDescent="0.4">
      <c r="A14" s="1" t="s">
        <v>159</v>
      </c>
      <c r="B14" s="1" t="s">
        <v>61</v>
      </c>
      <c r="C14" s="1" t="s">
        <v>127</v>
      </c>
      <c r="D14" s="1" t="s">
        <v>146</v>
      </c>
      <c r="E14" s="1" t="s">
        <v>147</v>
      </c>
      <c r="F14" s="1">
        <v>672</v>
      </c>
      <c r="G14" s="1">
        <v>1</v>
      </c>
      <c r="H14" s="1">
        <v>47337</v>
      </c>
      <c r="I14" s="1">
        <v>162528</v>
      </c>
      <c r="J14" s="1">
        <v>99.491366999980499</v>
      </c>
      <c r="K14" s="1">
        <v>389.15576171875</v>
      </c>
      <c r="L14" s="1">
        <v>13.485818002075501</v>
      </c>
      <c r="M14" s="1">
        <v>2.7934083993994401</v>
      </c>
      <c r="N14" s="10">
        <v>3.67230418158349</v>
      </c>
      <c r="O14" s="1">
        <v>0.59567173513957405</v>
      </c>
      <c r="P14" s="1">
        <v>16.6138118728305</v>
      </c>
      <c r="Q14" s="1">
        <v>2.8565669666509299</v>
      </c>
      <c r="R14" s="16">
        <v>4.0760044004920397</v>
      </c>
      <c r="S14" s="1">
        <v>0.75666106947264</v>
      </c>
    </row>
    <row r="15" spans="1:19" x14ac:dyDescent="0.4">
      <c r="A15" s="1" t="s">
        <v>160</v>
      </c>
      <c r="B15" s="1" t="s">
        <v>61</v>
      </c>
      <c r="C15" s="1" t="s">
        <v>127</v>
      </c>
      <c r="D15" s="1" t="s">
        <v>149</v>
      </c>
      <c r="E15" s="1" t="s">
        <v>150</v>
      </c>
      <c r="F15" s="1">
        <v>672</v>
      </c>
      <c r="G15" s="1">
        <v>2</v>
      </c>
      <c r="H15" s="1">
        <v>47337</v>
      </c>
      <c r="I15" s="1">
        <v>163296</v>
      </c>
      <c r="J15" s="1">
        <v>115.444016899971</v>
      </c>
      <c r="K15" s="1">
        <v>389.98779296875</v>
      </c>
      <c r="L15" s="1">
        <v>17.4610031741651</v>
      </c>
      <c r="M15" s="1">
        <v>3.1747043078430499</v>
      </c>
      <c r="N15" s="10">
        <v>4.1786365209437797</v>
      </c>
      <c r="O15" s="1">
        <v>0.47648877398123002</v>
      </c>
      <c r="P15" s="1">
        <v>20.581780206104501</v>
      </c>
      <c r="Q15" s="1">
        <v>3.16254441228019</v>
      </c>
      <c r="R15" s="16">
        <v>4.5367146930465596</v>
      </c>
      <c r="S15" s="1">
        <v>0.69854309040942697</v>
      </c>
    </row>
    <row r="16" spans="1:19" x14ac:dyDescent="0.4">
      <c r="A16" s="1" t="s">
        <v>161</v>
      </c>
      <c r="B16" s="1" t="s">
        <v>61</v>
      </c>
      <c r="C16" s="1" t="s">
        <v>127</v>
      </c>
      <c r="D16" s="1" t="s">
        <v>152</v>
      </c>
      <c r="E16" s="1" t="s">
        <v>153</v>
      </c>
      <c r="F16" s="1">
        <v>672</v>
      </c>
      <c r="G16" s="1">
        <v>1</v>
      </c>
      <c r="H16" s="1">
        <v>47337</v>
      </c>
      <c r="I16" s="1">
        <v>162528</v>
      </c>
      <c r="J16" s="1">
        <v>101.805088400025</v>
      </c>
      <c r="K16" s="1">
        <v>389.15576171875</v>
      </c>
      <c r="L16" s="1">
        <v>14.0306457238747</v>
      </c>
      <c r="M16" s="1">
        <v>2.89630075683823</v>
      </c>
      <c r="N16" s="10">
        <v>3.7457503552525702</v>
      </c>
      <c r="O16" s="1">
        <v>0.57933685301607096</v>
      </c>
      <c r="P16" s="1">
        <v>17.322947702070699</v>
      </c>
      <c r="Q16" s="1">
        <v>2.9664209437292901</v>
      </c>
      <c r="R16" s="16">
        <v>4.1620845380735201</v>
      </c>
      <c r="S16" s="1">
        <v>0.74627450944615203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8600-9235-4A0A-ACF2-4D002DF9E3F2}">
  <dimension ref="A1"/>
  <sheetViews>
    <sheetView zoomScale="85" zoomScaleNormal="85" workbookViewId="0">
      <selection activeCell="N19" sqref="N19"/>
    </sheetView>
  </sheetViews>
  <sheetFormatPr defaultRowHeight="17.399999999999999" x14ac:dyDescent="0.4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2.파라미터 튜닝</vt:lpstr>
      <vt:lpstr>3.Ablation Test통합</vt:lpstr>
      <vt:lpstr>3.Ablation Test#1</vt:lpstr>
      <vt:lpstr>3.Ablation Test#2</vt:lpstr>
      <vt:lpstr>4.결론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KKW</dc:creator>
  <cp:lastModifiedBy>김 건우</cp:lastModifiedBy>
  <dcterms:created xsi:type="dcterms:W3CDTF">2015-06-05T18:17:20Z</dcterms:created>
  <dcterms:modified xsi:type="dcterms:W3CDTF">2026-10-18T13:00:49Z</dcterms:modified>
</cp:coreProperties>
</file>